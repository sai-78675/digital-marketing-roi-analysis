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ra\Downloads\"/>
    </mc:Choice>
  </mc:AlternateContent>
  <xr:revisionPtr revIDLastSave="0" documentId="13_ncr:1_{FDFFC1BC-8EA5-445A-83C9-89F90C83073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Marketing_Data" sheetId="1" r:id="rId5"/>
  </sheet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R2" i="1"/>
  <c r="V2" i="1" s="1"/>
  <c r="R3" i="1"/>
  <c r="V3" i="1" s="1"/>
  <c r="R4" i="1"/>
  <c r="V4" i="1" s="1"/>
  <c r="R5" i="1"/>
  <c r="V5" i="1" s="1"/>
  <c r="R6" i="1"/>
  <c r="V6" i="1" s="1"/>
  <c r="R7" i="1"/>
  <c r="V7" i="1" s="1"/>
  <c r="R8" i="1"/>
  <c r="V8" i="1" s="1"/>
  <c r="R9" i="1"/>
  <c r="V9" i="1" s="1"/>
  <c r="R10" i="1"/>
  <c r="V10" i="1" s="1"/>
  <c r="R11" i="1"/>
  <c r="V11" i="1" s="1"/>
  <c r="R12" i="1"/>
  <c r="V12" i="1" s="1"/>
  <c r="R13" i="1"/>
  <c r="V13" i="1" s="1"/>
  <c r="R14" i="1"/>
  <c r="V14" i="1" s="1"/>
  <c r="R15" i="1"/>
  <c r="V15" i="1" s="1"/>
  <c r="R16" i="1"/>
  <c r="V16" i="1" s="1"/>
  <c r="R17" i="1"/>
  <c r="V17" i="1" s="1"/>
  <c r="R18" i="1"/>
  <c r="V18" i="1" s="1"/>
  <c r="R19" i="1"/>
  <c r="V19" i="1" s="1"/>
  <c r="R20" i="1"/>
  <c r="V20" i="1" s="1"/>
  <c r="R21" i="1"/>
  <c r="V21" i="1" s="1"/>
  <c r="R22" i="1"/>
  <c r="V22" i="1" s="1"/>
  <c r="R23" i="1"/>
  <c r="V23" i="1" s="1"/>
  <c r="R24" i="1"/>
  <c r="V24" i="1" s="1"/>
  <c r="R25" i="1"/>
  <c r="V25" i="1" s="1"/>
  <c r="R26" i="1"/>
  <c r="V26" i="1" s="1"/>
  <c r="R27" i="1"/>
  <c r="V27" i="1" s="1"/>
  <c r="R28" i="1"/>
  <c r="V28" i="1" s="1"/>
  <c r="R29" i="1"/>
  <c r="V29" i="1" s="1"/>
  <c r="R30" i="1"/>
  <c r="V30" i="1" s="1"/>
  <c r="R31" i="1"/>
  <c r="V31" i="1" s="1"/>
  <c r="R32" i="1"/>
  <c r="V32" i="1" s="1"/>
  <c r="R33" i="1"/>
  <c r="V33" i="1" s="1"/>
  <c r="R34" i="1"/>
  <c r="V34" i="1" s="1"/>
  <c r="R35" i="1"/>
  <c r="V35" i="1" s="1"/>
  <c r="R36" i="1"/>
  <c r="V36" i="1" s="1"/>
  <c r="R37" i="1"/>
  <c r="V37" i="1" s="1"/>
  <c r="R38" i="1"/>
  <c r="V38" i="1" s="1"/>
  <c r="R39" i="1"/>
  <c r="V39" i="1" s="1"/>
  <c r="R40" i="1"/>
  <c r="V40" i="1" s="1"/>
  <c r="R41" i="1"/>
  <c r="V41" i="1" s="1"/>
  <c r="R42" i="1"/>
  <c r="V42" i="1" s="1"/>
  <c r="R43" i="1"/>
  <c r="V43" i="1" s="1"/>
  <c r="R44" i="1"/>
  <c r="V44" i="1" s="1"/>
  <c r="R45" i="1"/>
  <c r="V45" i="1" s="1"/>
  <c r="R46" i="1"/>
  <c r="V46" i="1" s="1"/>
  <c r="R47" i="1"/>
  <c r="V47" i="1" s="1"/>
  <c r="R48" i="1"/>
  <c r="V48" i="1" s="1"/>
  <c r="R49" i="1"/>
  <c r="V49" i="1" s="1"/>
  <c r="R50" i="1"/>
  <c r="V50" i="1" s="1"/>
  <c r="R51" i="1"/>
  <c r="V51" i="1" s="1"/>
  <c r="R52" i="1"/>
  <c r="V52" i="1" s="1"/>
  <c r="R53" i="1"/>
  <c r="V53" i="1" s="1"/>
  <c r="R54" i="1"/>
  <c r="V54" i="1" s="1"/>
  <c r="R55" i="1"/>
  <c r="V55" i="1" s="1"/>
  <c r="R56" i="1"/>
  <c r="V56" i="1" s="1"/>
  <c r="R57" i="1"/>
  <c r="V57" i="1" s="1"/>
  <c r="R58" i="1"/>
  <c r="V58" i="1" s="1"/>
  <c r="R59" i="1"/>
  <c r="V59" i="1" s="1"/>
  <c r="R60" i="1"/>
  <c r="V60" i="1" s="1"/>
  <c r="R61" i="1"/>
  <c r="V61" i="1" s="1"/>
  <c r="R62" i="1"/>
  <c r="V62" i="1" s="1"/>
  <c r="R63" i="1"/>
  <c r="V63" i="1" s="1"/>
  <c r="R64" i="1"/>
  <c r="V64" i="1" s="1"/>
  <c r="R65" i="1"/>
  <c r="V65" i="1" s="1"/>
  <c r="R66" i="1"/>
  <c r="V66" i="1" s="1"/>
  <c r="R67" i="1"/>
  <c r="V67" i="1" s="1"/>
  <c r="R68" i="1"/>
  <c r="V68" i="1" s="1"/>
  <c r="R69" i="1"/>
  <c r="V69" i="1" s="1"/>
  <c r="R70" i="1"/>
  <c r="V70" i="1" s="1"/>
  <c r="R71" i="1"/>
  <c r="V71" i="1" s="1"/>
  <c r="R72" i="1"/>
  <c r="V72" i="1" s="1"/>
  <c r="R73" i="1"/>
  <c r="V73" i="1" s="1"/>
  <c r="R74" i="1"/>
  <c r="V74" i="1" s="1"/>
  <c r="R75" i="1"/>
  <c r="V75" i="1" s="1"/>
  <c r="R76" i="1"/>
  <c r="V76" i="1" s="1"/>
  <c r="R77" i="1"/>
  <c r="V77" i="1" s="1"/>
  <c r="R78" i="1"/>
  <c r="V78" i="1" s="1"/>
  <c r="R79" i="1"/>
  <c r="V79" i="1" s="1"/>
  <c r="R80" i="1"/>
  <c r="V80" i="1" s="1"/>
  <c r="R81" i="1"/>
  <c r="V81" i="1" s="1"/>
  <c r="R82" i="1"/>
  <c r="V82" i="1" s="1"/>
  <c r="R83" i="1"/>
  <c r="V83" i="1" s="1"/>
  <c r="R84" i="1"/>
  <c r="V84" i="1" s="1"/>
  <c r="R85" i="1"/>
  <c r="V85" i="1" s="1"/>
  <c r="R86" i="1"/>
  <c r="V86" i="1" s="1"/>
  <c r="R87" i="1"/>
  <c r="V87" i="1" s="1"/>
  <c r="R88" i="1"/>
  <c r="V88" i="1" s="1"/>
  <c r="R89" i="1"/>
  <c r="V89" i="1" s="1"/>
  <c r="R90" i="1"/>
  <c r="V90" i="1" s="1"/>
  <c r="R91" i="1"/>
  <c r="V91" i="1" s="1"/>
  <c r="R92" i="1"/>
  <c r="V92" i="1" s="1"/>
  <c r="R93" i="1"/>
  <c r="V93" i="1" s="1"/>
  <c r="R94" i="1"/>
  <c r="V94" i="1" s="1"/>
  <c r="R95" i="1"/>
  <c r="V95" i="1" s="1"/>
  <c r="R96" i="1"/>
  <c r="V96" i="1" s="1"/>
  <c r="R97" i="1"/>
  <c r="V97" i="1" s="1"/>
  <c r="R98" i="1"/>
  <c r="V98" i="1" s="1"/>
  <c r="R99" i="1"/>
  <c r="V99" i="1" s="1"/>
  <c r="R100" i="1"/>
  <c r="V100" i="1" s="1"/>
  <c r="R101" i="1"/>
  <c r="V101" i="1" s="1"/>
  <c r="R102" i="1"/>
  <c r="V102" i="1" s="1"/>
  <c r="R103" i="1"/>
  <c r="V103" i="1" s="1"/>
  <c r="R104" i="1"/>
  <c r="V104" i="1" s="1"/>
  <c r="R105" i="1"/>
  <c r="V105" i="1" s="1"/>
  <c r="R106" i="1"/>
  <c r="V106" i="1" s="1"/>
  <c r="R107" i="1"/>
  <c r="V107" i="1" s="1"/>
  <c r="R108" i="1"/>
  <c r="V108" i="1" s="1"/>
  <c r="R109" i="1"/>
  <c r="V109" i="1" s="1"/>
  <c r="R110" i="1"/>
  <c r="V110" i="1" s="1"/>
  <c r="R111" i="1"/>
  <c r="V111" i="1" s="1"/>
  <c r="R112" i="1"/>
  <c r="V112" i="1" s="1"/>
  <c r="R113" i="1"/>
  <c r="V113" i="1" s="1"/>
  <c r="R114" i="1"/>
  <c r="V114" i="1" s="1"/>
  <c r="R115" i="1"/>
  <c r="V115" i="1" s="1"/>
  <c r="R116" i="1"/>
  <c r="V116" i="1" s="1"/>
  <c r="R117" i="1"/>
  <c r="V117" i="1" s="1"/>
  <c r="R118" i="1"/>
  <c r="V118" i="1" s="1"/>
  <c r="R119" i="1"/>
  <c r="V119" i="1" s="1"/>
  <c r="R120" i="1"/>
  <c r="V120" i="1" s="1"/>
  <c r="R121" i="1"/>
  <c r="V121" i="1" s="1"/>
  <c r="R122" i="1"/>
  <c r="V122" i="1" s="1"/>
  <c r="R123" i="1"/>
  <c r="V123" i="1" s="1"/>
  <c r="R124" i="1"/>
  <c r="V124" i="1" s="1"/>
  <c r="R125" i="1"/>
  <c r="V125" i="1" s="1"/>
  <c r="R126" i="1"/>
  <c r="V126" i="1" s="1"/>
  <c r="R127" i="1"/>
  <c r="V127" i="1" s="1"/>
  <c r="R128" i="1"/>
  <c r="V128" i="1" s="1"/>
  <c r="R129" i="1"/>
  <c r="V129" i="1" s="1"/>
  <c r="R130" i="1"/>
  <c r="V130" i="1" s="1"/>
  <c r="R131" i="1"/>
  <c r="V131" i="1" s="1"/>
  <c r="R132" i="1"/>
  <c r="V132" i="1" s="1"/>
  <c r="R133" i="1"/>
  <c r="V133" i="1" s="1"/>
  <c r="R134" i="1"/>
  <c r="V134" i="1" s="1"/>
  <c r="R135" i="1"/>
  <c r="V135" i="1" s="1"/>
  <c r="R136" i="1"/>
  <c r="V136" i="1" s="1"/>
  <c r="R137" i="1"/>
  <c r="V137" i="1" s="1"/>
  <c r="R138" i="1"/>
  <c r="V138" i="1" s="1"/>
  <c r="R139" i="1"/>
  <c r="V139" i="1" s="1"/>
  <c r="R140" i="1"/>
  <c r="V140" i="1" s="1"/>
  <c r="R141" i="1"/>
  <c r="V141" i="1" s="1"/>
  <c r="R142" i="1"/>
  <c r="V142" i="1" s="1"/>
  <c r="R143" i="1"/>
  <c r="V143" i="1" s="1"/>
  <c r="R144" i="1"/>
  <c r="V144" i="1" s="1"/>
  <c r="R145" i="1"/>
  <c r="V145" i="1" s="1"/>
  <c r="R146" i="1"/>
  <c r="V146" i="1" s="1"/>
  <c r="R147" i="1"/>
  <c r="V147" i="1" s="1"/>
  <c r="R148" i="1"/>
  <c r="V148" i="1" s="1"/>
  <c r="R149" i="1"/>
  <c r="V149" i="1" s="1"/>
  <c r="R150" i="1"/>
  <c r="V150" i="1" s="1"/>
  <c r="R151" i="1"/>
  <c r="V151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3" i="1"/>
  <c r="K2" i="1"/>
</calcChain>
</file>

<file path=xl/sharedStrings.xml><?xml version="1.0" encoding="utf-8"?>
<sst xmlns="http://schemas.openxmlformats.org/spreadsheetml/2006/main" count="673" uniqueCount="407">
  <si>
    <t>Date</t>
  </si>
  <si>
    <t>Channel</t>
  </si>
  <si>
    <t>Campaign</t>
  </si>
  <si>
    <t>Spend</t>
  </si>
  <si>
    <t>Impressions</t>
  </si>
  <si>
    <t>Clicks</t>
  </si>
  <si>
    <t>Leads</t>
  </si>
  <si>
    <t>Conversions</t>
  </si>
  <si>
    <t>Revenue</t>
  </si>
  <si>
    <t>Customer_ID</t>
  </si>
  <si>
    <t>2025-01-01</t>
  </si>
  <si>
    <t>Google Ads</t>
  </si>
  <si>
    <t>Campaign_1</t>
  </si>
  <si>
    <t>C001</t>
  </si>
  <si>
    <t>2025-01-02</t>
  </si>
  <si>
    <t>Influencer</t>
  </si>
  <si>
    <t>Campaign_2</t>
  </si>
  <si>
    <t>C002</t>
  </si>
  <si>
    <t>2025-01-03</t>
  </si>
  <si>
    <t>Campaign_3</t>
  </si>
  <si>
    <t>C003</t>
  </si>
  <si>
    <t>2025-01-04</t>
  </si>
  <si>
    <t>Campaign_4</t>
  </si>
  <si>
    <t>C004</t>
  </si>
  <si>
    <t>2025-01-05</t>
  </si>
  <si>
    <t>Campaign_5</t>
  </si>
  <si>
    <t>C005</t>
  </si>
  <si>
    <t>2025-01-06</t>
  </si>
  <si>
    <t>Meta Ads</t>
  </si>
  <si>
    <t>Campaign_6</t>
  </si>
  <si>
    <t>C006</t>
  </si>
  <si>
    <t>2025-01-07</t>
  </si>
  <si>
    <t>Campaign_7</t>
  </si>
  <si>
    <t>C007</t>
  </si>
  <si>
    <t>2025-01-08</t>
  </si>
  <si>
    <t>Campaign_8</t>
  </si>
  <si>
    <t>C008</t>
  </si>
  <si>
    <t>2025-01-09</t>
  </si>
  <si>
    <t>Campaign_9</t>
  </si>
  <si>
    <t>C009</t>
  </si>
  <si>
    <t>2025-01-10</t>
  </si>
  <si>
    <t>Campaign_10</t>
  </si>
  <si>
    <t>C010</t>
  </si>
  <si>
    <t>2025-01-11</t>
  </si>
  <si>
    <t>Campaign_11</t>
  </si>
  <si>
    <t>C011</t>
  </si>
  <si>
    <t>2025-01-12</t>
  </si>
  <si>
    <t>Campaign_12</t>
  </si>
  <si>
    <t>C012</t>
  </si>
  <si>
    <t>2025-01-13</t>
  </si>
  <si>
    <t>Campaign_13</t>
  </si>
  <si>
    <t>C013</t>
  </si>
  <si>
    <t>2025-01-14</t>
  </si>
  <si>
    <t>Campaign_14</t>
  </si>
  <si>
    <t>C014</t>
  </si>
  <si>
    <t>2025-01-15</t>
  </si>
  <si>
    <t>Campaign_15</t>
  </si>
  <si>
    <t>C015</t>
  </si>
  <si>
    <t>2025-01-16</t>
  </si>
  <si>
    <t>Campaign_16</t>
  </si>
  <si>
    <t>C016</t>
  </si>
  <si>
    <t>2025-01-17</t>
  </si>
  <si>
    <t>Campaign_17</t>
  </si>
  <si>
    <t>C017</t>
  </si>
  <si>
    <t>2025-01-18</t>
  </si>
  <si>
    <t>Campaign_18</t>
  </si>
  <si>
    <t>C018</t>
  </si>
  <si>
    <t>2025-01-19</t>
  </si>
  <si>
    <t>Campaign_19</t>
  </si>
  <si>
    <t>C019</t>
  </si>
  <si>
    <t>2025-01-20</t>
  </si>
  <si>
    <t>Campaign_20</t>
  </si>
  <si>
    <t>C020</t>
  </si>
  <si>
    <t>2025-01-21</t>
  </si>
  <si>
    <t>Campaign_21</t>
  </si>
  <si>
    <t>C021</t>
  </si>
  <si>
    <t>2025-01-22</t>
  </si>
  <si>
    <t>Campaign_22</t>
  </si>
  <si>
    <t>C022</t>
  </si>
  <si>
    <t>2025-01-23</t>
  </si>
  <si>
    <t>Campaign_23</t>
  </si>
  <si>
    <t>C023</t>
  </si>
  <si>
    <t>2025-01-24</t>
  </si>
  <si>
    <t>Campaign_24</t>
  </si>
  <si>
    <t>C024</t>
  </si>
  <si>
    <t>2025-01-25</t>
  </si>
  <si>
    <t>Campaign_25</t>
  </si>
  <si>
    <t>C025</t>
  </si>
  <si>
    <t>2025-01-26</t>
  </si>
  <si>
    <t>Campaign_26</t>
  </si>
  <si>
    <t>C026</t>
  </si>
  <si>
    <t>2025-01-27</t>
  </si>
  <si>
    <t>Campaign_27</t>
  </si>
  <si>
    <t>C027</t>
  </si>
  <si>
    <t>2025-01-28</t>
  </si>
  <si>
    <t>Campaign_28</t>
  </si>
  <si>
    <t>C028</t>
  </si>
  <si>
    <t>2025-01-29</t>
  </si>
  <si>
    <t>Campaign_29</t>
  </si>
  <si>
    <t>C029</t>
  </si>
  <si>
    <t>2025-01-30</t>
  </si>
  <si>
    <t>Campaign_30</t>
  </si>
  <si>
    <t>C030</t>
  </si>
  <si>
    <t>2025-01-31</t>
  </si>
  <si>
    <t>Campaign_31</t>
  </si>
  <si>
    <t>C031</t>
  </si>
  <si>
    <t>2025-02-01</t>
  </si>
  <si>
    <t>Campaign_32</t>
  </si>
  <si>
    <t>C032</t>
  </si>
  <si>
    <t>2025-02-02</t>
  </si>
  <si>
    <t>Campaign_33</t>
  </si>
  <si>
    <t>C033</t>
  </si>
  <si>
    <t>2025-02-03</t>
  </si>
  <si>
    <t>Campaign_34</t>
  </si>
  <si>
    <t>C034</t>
  </si>
  <si>
    <t>2025-02-04</t>
  </si>
  <si>
    <t>Campaign_35</t>
  </si>
  <si>
    <t>C035</t>
  </si>
  <si>
    <t>2025-02-05</t>
  </si>
  <si>
    <t>Campaign_36</t>
  </si>
  <si>
    <t>C036</t>
  </si>
  <si>
    <t>2025-02-06</t>
  </si>
  <si>
    <t>Campaign_37</t>
  </si>
  <si>
    <t>C037</t>
  </si>
  <si>
    <t>2025-02-07</t>
  </si>
  <si>
    <t>Campaign_38</t>
  </si>
  <si>
    <t>C038</t>
  </si>
  <si>
    <t>2025-02-08</t>
  </si>
  <si>
    <t>Campaign_39</t>
  </si>
  <si>
    <t>C039</t>
  </si>
  <si>
    <t>2025-02-09</t>
  </si>
  <si>
    <t>Campaign_40</t>
  </si>
  <si>
    <t>C040</t>
  </si>
  <si>
    <t>2025-02-10</t>
  </si>
  <si>
    <t>Campaign_41</t>
  </si>
  <si>
    <t>C041</t>
  </si>
  <si>
    <t>2025-02-11</t>
  </si>
  <si>
    <t>Campaign_42</t>
  </si>
  <si>
    <t>C042</t>
  </si>
  <si>
    <t>2025-02-12</t>
  </si>
  <si>
    <t>Campaign_43</t>
  </si>
  <si>
    <t>C043</t>
  </si>
  <si>
    <t>2025-02-13</t>
  </si>
  <si>
    <t>Campaign_44</t>
  </si>
  <si>
    <t>C044</t>
  </si>
  <si>
    <t>2025-02-14</t>
  </si>
  <si>
    <t>Campaign_45</t>
  </si>
  <si>
    <t>C045</t>
  </si>
  <si>
    <t>2025-02-15</t>
  </si>
  <si>
    <t>Campaign_46</t>
  </si>
  <si>
    <t>C046</t>
  </si>
  <si>
    <t>2025-02-16</t>
  </si>
  <si>
    <t>Campaign_47</t>
  </si>
  <si>
    <t>C047</t>
  </si>
  <si>
    <t>2025-02-17</t>
  </si>
  <si>
    <t>Campaign_48</t>
  </si>
  <si>
    <t>C048</t>
  </si>
  <si>
    <t>2025-02-18</t>
  </si>
  <si>
    <t>Campaign_49</t>
  </si>
  <si>
    <t>C049</t>
  </si>
  <si>
    <t>2025-02-19</t>
  </si>
  <si>
    <t>Campaign_50</t>
  </si>
  <si>
    <t>C050</t>
  </si>
  <si>
    <t>2025-02-20</t>
  </si>
  <si>
    <t>Campaign_51</t>
  </si>
  <si>
    <t>C051</t>
  </si>
  <si>
    <t>2025-02-21</t>
  </si>
  <si>
    <t>Campaign_52</t>
  </si>
  <si>
    <t>C052</t>
  </si>
  <si>
    <t>2025-02-22</t>
  </si>
  <si>
    <t>Campaign_53</t>
  </si>
  <si>
    <t>C053</t>
  </si>
  <si>
    <t>2025-02-23</t>
  </si>
  <si>
    <t>Campaign_54</t>
  </si>
  <si>
    <t>C054</t>
  </si>
  <si>
    <t>2025-02-24</t>
  </si>
  <si>
    <t>Campaign_55</t>
  </si>
  <si>
    <t>C055</t>
  </si>
  <si>
    <t>2025-02-25</t>
  </si>
  <si>
    <t>Campaign_56</t>
  </si>
  <si>
    <t>C056</t>
  </si>
  <si>
    <t>2025-02-26</t>
  </si>
  <si>
    <t>Campaign_57</t>
  </si>
  <si>
    <t>C057</t>
  </si>
  <si>
    <t>2025-02-27</t>
  </si>
  <si>
    <t>Campaign_58</t>
  </si>
  <si>
    <t>C058</t>
  </si>
  <si>
    <t>2025-02-28</t>
  </si>
  <si>
    <t>Campaign_59</t>
  </si>
  <si>
    <t>C059</t>
  </si>
  <si>
    <t>2025-03-01</t>
  </si>
  <si>
    <t>Campaign_60</t>
  </si>
  <si>
    <t>C060</t>
  </si>
  <si>
    <t>Campaign_61</t>
  </si>
  <si>
    <t>C061</t>
  </si>
  <si>
    <t>Campaign_62</t>
  </si>
  <si>
    <t>C062</t>
  </si>
  <si>
    <t>Campaign_63</t>
  </si>
  <si>
    <t>C063</t>
  </si>
  <si>
    <t>Campaign_64</t>
  </si>
  <si>
    <t>C064</t>
  </si>
  <si>
    <t>Campaign_65</t>
  </si>
  <si>
    <t>C065</t>
  </si>
  <si>
    <t>Campaign_66</t>
  </si>
  <si>
    <t>C066</t>
  </si>
  <si>
    <t>Campaign_67</t>
  </si>
  <si>
    <t>C067</t>
  </si>
  <si>
    <t>Campaign_68</t>
  </si>
  <si>
    <t>C068</t>
  </si>
  <si>
    <t>Campaign_69</t>
  </si>
  <si>
    <t>C069</t>
  </si>
  <si>
    <t>Campaign_70</t>
  </si>
  <si>
    <t>C070</t>
  </si>
  <si>
    <t>Campaign_71</t>
  </si>
  <si>
    <t>C071</t>
  </si>
  <si>
    <t>Campaign_72</t>
  </si>
  <si>
    <t>C072</t>
  </si>
  <si>
    <t>Campaign_73</t>
  </si>
  <si>
    <t>C073</t>
  </si>
  <si>
    <t>Campaign_74</t>
  </si>
  <si>
    <t>C074</t>
  </si>
  <si>
    <t>Campaign_75</t>
  </si>
  <si>
    <t>C075</t>
  </si>
  <si>
    <t>Campaign_76</t>
  </si>
  <si>
    <t>C076</t>
  </si>
  <si>
    <t>Campaign_77</t>
  </si>
  <si>
    <t>C077</t>
  </si>
  <si>
    <t>Campaign_78</t>
  </si>
  <si>
    <t>C078</t>
  </si>
  <si>
    <t>Campaign_79</t>
  </si>
  <si>
    <t>C079</t>
  </si>
  <si>
    <t>Campaign_80</t>
  </si>
  <si>
    <t>C080</t>
  </si>
  <si>
    <t>Campaign_81</t>
  </si>
  <si>
    <t>C081</t>
  </si>
  <si>
    <t>Campaign_82</t>
  </si>
  <si>
    <t>C082</t>
  </si>
  <si>
    <t>Campaign_83</t>
  </si>
  <si>
    <t>C083</t>
  </si>
  <si>
    <t>Campaign_84</t>
  </si>
  <si>
    <t>C084</t>
  </si>
  <si>
    <t>Campaign_85</t>
  </si>
  <si>
    <t>C085</t>
  </si>
  <si>
    <t>Campaign_86</t>
  </si>
  <si>
    <t>C086</t>
  </si>
  <si>
    <t>Campaign_87</t>
  </si>
  <si>
    <t>C087</t>
  </si>
  <si>
    <t>Campaign_88</t>
  </si>
  <si>
    <t>C088</t>
  </si>
  <si>
    <t>Campaign_89</t>
  </si>
  <si>
    <t>C089</t>
  </si>
  <si>
    <t>Campaign_90</t>
  </si>
  <si>
    <t>C090</t>
  </si>
  <si>
    <t>Campaign_91</t>
  </si>
  <si>
    <t>C091</t>
  </si>
  <si>
    <t>Campaign_92</t>
  </si>
  <si>
    <t>C092</t>
  </si>
  <si>
    <t>Campaign_93</t>
  </si>
  <si>
    <t>C093</t>
  </si>
  <si>
    <t>Campaign_94</t>
  </si>
  <si>
    <t>C094</t>
  </si>
  <si>
    <t>Campaign_95</t>
  </si>
  <si>
    <t>C095</t>
  </si>
  <si>
    <t>Campaign_96</t>
  </si>
  <si>
    <t>C096</t>
  </si>
  <si>
    <t>Campaign_97</t>
  </si>
  <si>
    <t>C097</t>
  </si>
  <si>
    <t>Campaign_98</t>
  </si>
  <si>
    <t>C098</t>
  </si>
  <si>
    <t>Campaign_99</t>
  </si>
  <si>
    <t>C099</t>
  </si>
  <si>
    <t>Campaign_100</t>
  </si>
  <si>
    <t>C100</t>
  </si>
  <si>
    <t>Campaign_101</t>
  </si>
  <si>
    <t>C101</t>
  </si>
  <si>
    <t>Campaign_102</t>
  </si>
  <si>
    <t>C102</t>
  </si>
  <si>
    <t>Campaign_103</t>
  </si>
  <si>
    <t>C103</t>
  </si>
  <si>
    <t>Campaign_104</t>
  </si>
  <si>
    <t>C104</t>
  </si>
  <si>
    <t>Campaign_105</t>
  </si>
  <si>
    <t>C105</t>
  </si>
  <si>
    <t>Campaign_106</t>
  </si>
  <si>
    <t>C106</t>
  </si>
  <si>
    <t>Campaign_107</t>
  </si>
  <si>
    <t>C107</t>
  </si>
  <si>
    <t>Campaign_108</t>
  </si>
  <si>
    <t>C108</t>
  </si>
  <si>
    <t>Campaign_109</t>
  </si>
  <si>
    <t>C109</t>
  </si>
  <si>
    <t>Campaign_110</t>
  </si>
  <si>
    <t>C110</t>
  </si>
  <si>
    <t>Campaign_111</t>
  </si>
  <si>
    <t>C111</t>
  </si>
  <si>
    <t>Campaign_112</t>
  </si>
  <si>
    <t>C112</t>
  </si>
  <si>
    <t>Campaign_113</t>
  </si>
  <si>
    <t>C113</t>
  </si>
  <si>
    <t>Campaign_114</t>
  </si>
  <si>
    <t>C114</t>
  </si>
  <si>
    <t>Campaign_115</t>
  </si>
  <si>
    <t>C115</t>
  </si>
  <si>
    <t>Campaign_116</t>
  </si>
  <si>
    <t>C116</t>
  </si>
  <si>
    <t>Campaign_117</t>
  </si>
  <si>
    <t>C117</t>
  </si>
  <si>
    <t>Campaign_118</t>
  </si>
  <si>
    <t>C118</t>
  </si>
  <si>
    <t>Campaign_119</t>
  </si>
  <si>
    <t>C119</t>
  </si>
  <si>
    <t>Campaign_120</t>
  </si>
  <si>
    <t>C120</t>
  </si>
  <si>
    <t>Campaign_121</t>
  </si>
  <si>
    <t>C121</t>
  </si>
  <si>
    <t>Campaign_122</t>
  </si>
  <si>
    <t>C122</t>
  </si>
  <si>
    <t>Campaign_123</t>
  </si>
  <si>
    <t>C123</t>
  </si>
  <si>
    <t>Campaign_124</t>
  </si>
  <si>
    <t>C124</t>
  </si>
  <si>
    <t>Campaign_125</t>
  </si>
  <si>
    <t>C125</t>
  </si>
  <si>
    <t>Campaign_126</t>
  </si>
  <si>
    <t>C126</t>
  </si>
  <si>
    <t>Campaign_127</t>
  </si>
  <si>
    <t>C127</t>
  </si>
  <si>
    <t>Campaign_128</t>
  </si>
  <si>
    <t>C128</t>
  </si>
  <si>
    <t>Campaign_129</t>
  </si>
  <si>
    <t>C129</t>
  </si>
  <si>
    <t>Campaign_130</t>
  </si>
  <si>
    <t>C130</t>
  </si>
  <si>
    <t>Campaign_131</t>
  </si>
  <si>
    <t>C131</t>
  </si>
  <si>
    <t>Campaign_132</t>
  </si>
  <si>
    <t>C132</t>
  </si>
  <si>
    <t>Campaign_133</t>
  </si>
  <si>
    <t>C133</t>
  </si>
  <si>
    <t>Campaign_134</t>
  </si>
  <si>
    <t>C134</t>
  </si>
  <si>
    <t>Campaign_135</t>
  </si>
  <si>
    <t>C135</t>
  </si>
  <si>
    <t>Campaign_136</t>
  </si>
  <si>
    <t>C136</t>
  </si>
  <si>
    <t>Campaign_137</t>
  </si>
  <si>
    <t>C137</t>
  </si>
  <si>
    <t>Campaign_138</t>
  </si>
  <si>
    <t>C138</t>
  </si>
  <si>
    <t>Campaign_139</t>
  </si>
  <si>
    <t>C139</t>
  </si>
  <si>
    <t>Campaign_140</t>
  </si>
  <si>
    <t>C140</t>
  </si>
  <si>
    <t>Campaign_141</t>
  </si>
  <si>
    <t>C141</t>
  </si>
  <si>
    <t>Campaign_142</t>
  </si>
  <si>
    <t>C142</t>
  </si>
  <si>
    <t>Campaign_143</t>
  </si>
  <si>
    <t>C143</t>
  </si>
  <si>
    <t>Campaign_144</t>
  </si>
  <si>
    <t>C144</t>
  </si>
  <si>
    <t>Campaign_145</t>
  </si>
  <si>
    <t>C145</t>
  </si>
  <si>
    <t>Campaign_146</t>
  </si>
  <si>
    <t>C146</t>
  </si>
  <si>
    <t>Campaign_147</t>
  </si>
  <si>
    <t>C147</t>
  </si>
  <si>
    <t>Campaign_148</t>
  </si>
  <si>
    <t>C148</t>
  </si>
  <si>
    <t>Campaign_149</t>
  </si>
  <si>
    <t>C149</t>
  </si>
  <si>
    <t>Campaign_150</t>
  </si>
  <si>
    <t>C150</t>
  </si>
  <si>
    <t>CTR (%)</t>
  </si>
  <si>
    <t>Lead Rate (%)</t>
  </si>
  <si>
    <t>Conversion Rate (%)</t>
  </si>
  <si>
    <t>Funnel Conversion (%)</t>
  </si>
  <si>
    <t>CPL (₹)</t>
  </si>
  <si>
    <t>CPC (₹)</t>
  </si>
  <si>
    <t>Revenue per Conversion (₹)</t>
  </si>
  <si>
    <t>ROI (%)</t>
  </si>
  <si>
    <t>ROAS</t>
  </si>
  <si>
    <t>Profit (₹)</t>
  </si>
  <si>
    <t>Month</t>
  </si>
  <si>
    <t>Profit Status</t>
  </si>
  <si>
    <t>Row Labels</t>
  </si>
  <si>
    <t>Grand Total</t>
  </si>
  <si>
    <t>Column Labels</t>
  </si>
  <si>
    <t>Sum of Spend</t>
  </si>
  <si>
    <t>Sum of Revenue</t>
  </si>
  <si>
    <t>Sum of Profit (₹)</t>
  </si>
  <si>
    <t>Average of ROI (%)</t>
  </si>
  <si>
    <t>Sum of Impressions</t>
  </si>
  <si>
    <t>Sum of Clicks</t>
  </si>
  <si>
    <t>Sum of Leads</t>
  </si>
  <si>
    <t>Sum of Conversions</t>
  </si>
  <si>
    <t>Average of Lead Rate (%)</t>
  </si>
  <si>
    <t>Average of CTR (%)</t>
  </si>
  <si>
    <t>Average of Conversion Rate (%)</t>
  </si>
  <si>
    <t>Sum of CPL (₹)</t>
  </si>
  <si>
    <t>Sum of CPC (₹)</t>
  </si>
  <si>
    <t>Jan</t>
  </si>
  <si>
    <t>Feb</t>
  </si>
  <si>
    <t>Mar</t>
  </si>
  <si>
    <t>Total Sum of Spend</t>
  </si>
  <si>
    <t>Total Sum of Revenue</t>
  </si>
  <si>
    <t>Total Average of ROI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</si>
</sst>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15"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164" formatCode="&quot;₹&quot;\ #,##0.00"/>
    </dxf>
    <dxf>
      <numFmt numFmtId="14" formatCode="0.00%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₹&quot;\ #,##0.00"/>
    </dxf>
    <dxf>
      <numFmt numFmtId="164" formatCode="&quot;₹&quot;\ #,##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sairam" refreshedDate="46125.056468055554" createdVersion="8" refreshedVersion="8" minRefreshableVersion="3" recordCount="150" xr:uid="{BFDDC179-BD42-40A6-8CFA-008BF0E73D35}">
  <cacheSource type="worksheet">
    <worksheetSource name="Table1"/>
  </cacheSource>
  <cacheFields count="22">
    <cacheField name="Date" numFmtId="14">
      <sharedItems/>
    </cacheField>
    <cacheField name="Channel" numFmtId="0">
      <sharedItems count="3">
        <s v="Google Ads"/>
        <s v="Influencer"/>
        <s v="Meta Ads"/>
      </sharedItems>
    </cacheField>
    <cacheField name="Campaign" numFmtId="0">
      <sharedItems/>
    </cacheField>
    <cacheField name="Spend" numFmtId="164">
      <sharedItems containsSemiMixedTypes="0" containsString="0" containsNumber="1" containsInteger="1" minValue="4145" maxValue="13962" count="147">
        <n v="5259"/>
        <n v="13294"/>
        <n v="12999"/>
        <n v="5033"/>
        <n v="12857"/>
        <n v="6999"/>
        <n v="6882"/>
        <n v="13000"/>
        <n v="11498"/>
        <n v="12440"/>
        <n v="10626"/>
        <n v="10245"/>
        <n v="6372"/>
        <n v="4204"/>
        <n v="10310"/>
        <n v="4441"/>
        <n v="7235"/>
        <n v="7261"/>
        <n v="4485"/>
        <n v="11337"/>
        <n v="5829"/>
        <n v="8500"/>
        <n v="6192"/>
        <n v="7153"/>
        <n v="10779"/>
        <n v="5790"/>
        <n v="6275"/>
        <n v="8214"/>
        <n v="6241"/>
        <n v="5947"/>
        <n v="13767"/>
        <n v="4523"/>
        <n v="5882"/>
        <n v="8202"/>
        <n v="5106"/>
        <n v="8113"/>
        <n v="5738"/>
        <n v="4459"/>
        <n v="6964"/>
        <n v="7243"/>
        <n v="6224"/>
        <n v="6106"/>
        <n v="4145"/>
        <n v="8072"/>
        <n v="12593"/>
        <n v="5827"/>
        <n v="7387"/>
        <n v="8979"/>
        <n v="10785"/>
        <n v="7448"/>
        <n v="8394"/>
        <n v="11970"/>
        <n v="6170"/>
        <n v="12896"/>
        <n v="4260"/>
        <n v="7437"/>
        <n v="6036"/>
        <n v="5457"/>
        <n v="5537"/>
        <n v="4594"/>
        <n v="7651"/>
        <n v="5209"/>
        <n v="6709"/>
        <n v="5455"/>
        <n v="7993"/>
        <n v="10126"/>
        <n v="6457"/>
        <n v="6780"/>
        <n v="6809"/>
        <n v="13502"/>
        <n v="8857"/>
        <n v="6436"/>
        <n v="5137"/>
        <n v="6167"/>
        <n v="6879"/>
        <n v="10790"/>
        <n v="6653"/>
        <n v="6579"/>
        <n v="5349"/>
        <n v="6659"/>
        <n v="11227"/>
        <n v="4768"/>
        <n v="10258"/>
        <n v="6196"/>
        <n v="12501"/>
        <n v="11371"/>
        <n v="7822"/>
        <n v="6690"/>
        <n v="7688"/>
        <n v="11221"/>
        <n v="4601"/>
        <n v="8538"/>
        <n v="10122"/>
        <n v="12926"/>
        <n v="6919"/>
        <n v="13630"/>
        <n v="4179"/>
        <n v="6538"/>
        <n v="6860"/>
        <n v="8184"/>
        <n v="8665"/>
        <n v="7893"/>
        <n v="10938"/>
        <n v="11975"/>
        <n v="13405"/>
        <n v="7551"/>
        <n v="5617"/>
        <n v="6768"/>
        <n v="6691"/>
        <n v="8286"/>
        <n v="5286"/>
        <n v="8370"/>
        <n v="5512"/>
        <n v="9129"/>
        <n v="7380"/>
        <n v="4929"/>
        <n v="8709"/>
        <n v="13962"/>
        <n v="4996"/>
        <n v="12948"/>
        <n v="7531"/>
        <n v="5153"/>
        <n v="5840"/>
        <n v="7391"/>
        <n v="13837"/>
        <n v="5848"/>
        <n v="10882"/>
        <n v="12315"/>
        <n v="12710"/>
        <n v="6941"/>
        <n v="8153"/>
        <n v="12210"/>
        <n v="6445"/>
        <n v="9263"/>
        <n v="8936"/>
        <n v="4328"/>
        <n v="5587"/>
        <n v="12784"/>
        <n v="10983"/>
        <n v="6323"/>
        <n v="9659"/>
        <n v="6144"/>
        <n v="12848"/>
        <n v="10514"/>
        <n v="6365"/>
        <n v="8137"/>
        <n v="7869"/>
      </sharedItems>
    </cacheField>
    <cacheField name="Impressions" numFmtId="0">
      <sharedItems containsSemiMixedTypes="0" containsString="0" containsNumber="1" containsInteger="1" minValue="25812" maxValue="99694"/>
    </cacheField>
    <cacheField name="Clicks" numFmtId="0">
      <sharedItems containsSemiMixedTypes="0" containsString="0" containsNumber="1" containsInteger="1" minValue="1661" maxValue="5966"/>
    </cacheField>
    <cacheField name="Leads" numFmtId="0">
      <sharedItems containsSemiMixedTypes="0" containsString="0" containsNumber="1" containsInteger="1" minValue="207" maxValue="1496"/>
    </cacheField>
    <cacheField name="Conversions" numFmtId="0">
      <sharedItems containsSemiMixedTypes="0" containsString="0" containsNumber="1" containsInteger="1" minValue="20" maxValue="298"/>
    </cacheField>
    <cacheField name="Revenue" numFmtId="164">
      <sharedItems containsSemiMixedTypes="0" containsString="0" containsNumber="1" containsInteger="1" minValue="3366" maxValue="71630"/>
    </cacheField>
    <cacheField name="Customer_ID" numFmtId="0">
      <sharedItems/>
    </cacheField>
    <cacheField name="CTR (%)" numFmtId="10">
      <sharedItems containsSemiMixedTypes="0" containsString="0" containsNumber="1" minValue="4.4252190777916554E-2" maxValue="0.11839704129054235"/>
    </cacheField>
    <cacheField name="Lead Rate (%)" numFmtId="10">
      <sharedItems containsSemiMixedTypes="0" containsString="0" containsNumber="1" minValue="8.1701553004726535E-2" maxValue="0.36530912659470066"/>
    </cacheField>
    <cacheField name="Conversion Rate (%)" numFmtId="10">
      <sharedItems containsSemiMixedTypes="0" containsString="0" containsNumber="1" minValue="2.9166666666666667E-2" maxValue="0.40793201133144474"/>
    </cacheField>
    <cacheField name="Funnel Conversion (%)" numFmtId="10">
      <sharedItems containsSemiMixedTypes="0" containsString="0" containsNumber="1" minValue="4.6853560312803294E-4" maxValue="6.7548810955861942E-3"/>
    </cacheField>
    <cacheField name="CPL (₹)" numFmtId="164">
      <sharedItems containsSemiMixedTypes="0" containsString="0" containsNumber="1" minValue="4.1556603773584904" maxValue="60.835748792270529"/>
    </cacheField>
    <cacheField name="CPC (₹)" numFmtId="164">
      <sharedItems containsSemiMixedTypes="0" containsString="0" containsNumber="1" minValue="13.909395973154362" maxValue="655.57142857142856"/>
    </cacheField>
    <cacheField name="Revenue per Conversion (₹)" numFmtId="164">
      <sharedItems containsSemiMixedTypes="0" containsString="0" containsNumber="1" containsInteger="1" minValue="121" maxValue="248"/>
    </cacheField>
    <cacheField name="ROI (%)" numFmtId="10">
      <sharedItems containsSemiMixedTypes="0" containsString="0" containsNumber="1" minValue="-0.7101765090433646" maxValue="16.038841978287092"/>
    </cacheField>
    <cacheField name="ROAS" numFmtId="2">
      <sharedItems containsSemiMixedTypes="0" containsString="0" containsNumber="1" minValue="0.28982349095663545" maxValue="17.038841978287092"/>
    </cacheField>
    <cacheField name="Profit (₹)" numFmtId="164">
      <sharedItems containsSemiMixedTypes="0" containsString="0" containsNumber="1" containsInteger="1" minValue="-9777" maxValue="66481"/>
    </cacheField>
    <cacheField name="Month" numFmtId="164">
      <sharedItems count="3">
        <s v="Jan"/>
        <s v="Feb"/>
        <s v="Mar"/>
      </sharedItems>
    </cacheField>
    <cacheField name="Profit Status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2025-01-01"/>
    <x v="0"/>
    <s v="Campaign_1"/>
    <x v="0"/>
    <n v="53756"/>
    <n v="3807"/>
    <n v="832"/>
    <n v="207"/>
    <n v="45747"/>
    <s v="C001"/>
    <n v="7.0820001488205969E-2"/>
    <n v="0.21854478592067245"/>
    <n v="0.24879807692307693"/>
    <n v="3.850732941439095E-3"/>
    <n v="6.3209134615384617"/>
    <n v="25.405797101449274"/>
    <n v="221"/>
    <n v="7.6988020536223614"/>
    <n v="8.6988020536223623"/>
    <n v="40488"/>
    <x v="0"/>
    <s v="Profitable"/>
  </r>
  <r>
    <s v="2025-01-02"/>
    <x v="1"/>
    <s v="Campaign_2"/>
    <x v="1"/>
    <n v="34567"/>
    <n v="2310"/>
    <n v="290"/>
    <n v="28"/>
    <n v="5796"/>
    <s v="C002"/>
    <n v="6.6826742268637718E-2"/>
    <n v="0.12554112554112554"/>
    <n v="9.6551724137931033E-2"/>
    <n v="8.1002111840772987E-4"/>
    <n v="45.841379310344827"/>
    <n v="474.78571428571428"/>
    <n v="207"/>
    <n v="-0.56401384083044981"/>
    <n v="0.43598615916955019"/>
    <n v="-7498"/>
    <x v="0"/>
    <s v="Loss-Making"/>
  </r>
  <r>
    <s v="2025-01-03"/>
    <x v="1"/>
    <s v="Campaign_3"/>
    <x v="2"/>
    <n v="38602"/>
    <n v="1724"/>
    <n v="382"/>
    <n v="36"/>
    <n v="6048"/>
    <s v="C003"/>
    <n v="4.4660898399046682E-2"/>
    <n v="0.22157772621809746"/>
    <n v="9.4240837696335081E-2"/>
    <n v="9.3259416610538316E-4"/>
    <n v="34.028795811518322"/>
    <n v="361.08333333333331"/>
    <n v="168"/>
    <n v="-0.53473344103392573"/>
    <n v="0.46526655896607433"/>
    <n v="-6951"/>
    <x v="0"/>
    <s v="Loss-Making"/>
  </r>
  <r>
    <s v="2025-01-04"/>
    <x v="0"/>
    <s v="Campaign_4"/>
    <x v="3"/>
    <n v="43228"/>
    <n v="4576"/>
    <n v="723"/>
    <n v="292"/>
    <n v="62196"/>
    <s v="C004"/>
    <n v="0.10585731470343296"/>
    <n v="0.15799825174825174"/>
    <n v="0.40387275242047027"/>
    <n v="6.7548810955861942E-3"/>
    <n v="6.9612724757952975"/>
    <n v="17.236301369863014"/>
    <n v="213"/>
    <n v="11.357639578780052"/>
    <n v="12.357639578780052"/>
    <n v="57163"/>
    <x v="0"/>
    <s v="Profitable"/>
  </r>
  <r>
    <s v="2025-01-05"/>
    <x v="1"/>
    <s v="Campaign_5"/>
    <x v="4"/>
    <n v="37691"/>
    <n v="2244"/>
    <n v="361"/>
    <n v="29"/>
    <n v="5104"/>
    <s v="C005"/>
    <n v="5.9536759438592768E-2"/>
    <n v="0.160873440285205"/>
    <n v="8.0332409972299165E-2"/>
    <n v="7.6941444907272297E-4"/>
    <n v="35.614958448753463"/>
    <n v="443.34482758620692"/>
    <n v="176"/>
    <n v="-0.60301781130901455"/>
    <n v="0.39698218869098545"/>
    <n v="-7753"/>
    <x v="0"/>
    <s v="Loss-Making"/>
  </r>
  <r>
    <s v="2025-01-06"/>
    <x v="2"/>
    <s v="Campaign_6"/>
    <x v="5"/>
    <n v="82513"/>
    <n v="4116"/>
    <n v="1275"/>
    <n v="78"/>
    <n v="12558"/>
    <s v="C006"/>
    <n v="4.9883048731715E-2"/>
    <n v="0.30976676384839652"/>
    <n v="6.1176470588235297E-2"/>
    <n v="9.4530558821034265E-4"/>
    <n v="5.4894117647058822"/>
    <n v="89.730769230769226"/>
    <n v="161"/>
    <n v="0.79425632233176169"/>
    <n v="1.7942563223317616"/>
    <n v="5559"/>
    <x v="0"/>
    <s v="Profitable"/>
  </r>
  <r>
    <s v="2025-01-07"/>
    <x v="0"/>
    <s v="Campaign_7"/>
    <x v="6"/>
    <n v="52471"/>
    <n v="4520"/>
    <n v="982"/>
    <n v="249"/>
    <n v="46563"/>
    <s v="C007"/>
    <n v="8.6142821749156676E-2"/>
    <n v="0.21725663716814159"/>
    <n v="0.25356415478615069"/>
    <n v="4.7454784547654892E-3"/>
    <n v="7.0081466395112013"/>
    <n v="27.638554216867469"/>
    <n v="187"/>
    <n v="5.7659110723626856"/>
    <n v="6.7659110723626856"/>
    <n v="39681"/>
    <x v="0"/>
    <s v="Profitable"/>
  </r>
  <r>
    <s v="2025-01-08"/>
    <x v="1"/>
    <s v="Campaign_8"/>
    <x v="7"/>
    <n v="35987"/>
    <n v="1755"/>
    <n v="484"/>
    <n v="54"/>
    <n v="8856"/>
    <s v="C008"/>
    <n v="4.8767610526023283E-2"/>
    <n v="0.27578347578347578"/>
    <n v="0.1115702479338843"/>
    <n v="1.5005418623391781E-3"/>
    <n v="26.859504132231404"/>
    <n v="240.74074074074073"/>
    <n v="164"/>
    <n v="-0.31876923076923075"/>
    <n v="0.6812307692307692"/>
    <n v="-4144"/>
    <x v="0"/>
    <s v="Loss-Making"/>
  </r>
  <r>
    <s v="2025-01-09"/>
    <x v="1"/>
    <s v="Campaign_9"/>
    <x v="8"/>
    <n v="32331"/>
    <n v="2274"/>
    <n v="500"/>
    <n v="28"/>
    <n v="4592"/>
    <s v="C009"/>
    <n v="7.0334972626890604E-2"/>
    <n v="0.2198768689533861"/>
    <n v="5.6000000000000001E-2"/>
    <n v="8.6604187931087814E-4"/>
    <n v="22.995999999999999"/>
    <n v="410.64285714285717"/>
    <n v="164"/>
    <n v="-0.60062619586014954"/>
    <n v="0.39937380413985041"/>
    <n v="-6906"/>
    <x v="0"/>
    <s v="Loss-Making"/>
  </r>
  <r>
    <s v="2025-01-10"/>
    <x v="1"/>
    <s v="Campaign_10"/>
    <x v="9"/>
    <n v="36714"/>
    <n v="2714"/>
    <n v="241"/>
    <n v="52"/>
    <n v="10140"/>
    <s v="C010"/>
    <n v="7.392275426267908E-2"/>
    <n v="8.879882092851879E-2"/>
    <n v="0.21576763485477179"/>
    <n v="1.416353434657079E-3"/>
    <n v="51.61825726141079"/>
    <n v="239.23076923076923"/>
    <n v="195"/>
    <n v="-0.18488745980707397"/>
    <n v="0.81511254019292601"/>
    <n v="-2300"/>
    <x v="0"/>
    <s v="Loss-Making"/>
  </r>
  <r>
    <s v="2025-01-11"/>
    <x v="1"/>
    <s v="Campaign_11"/>
    <x v="10"/>
    <n v="30489"/>
    <n v="2962"/>
    <n v="242"/>
    <n v="42"/>
    <n v="8106"/>
    <s v="C011"/>
    <n v="9.714979172816425E-2"/>
    <n v="8.1701553004726535E-2"/>
    <n v="0.17355371900826447"/>
    <n v="1.3775460001967923E-3"/>
    <n v="43.909090909090907"/>
    <n v="253"/>
    <n v="193"/>
    <n v="-0.23715415019762845"/>
    <n v="0.76284584980237158"/>
    <n v="-2520"/>
    <x v="0"/>
    <s v="Loss-Making"/>
  </r>
  <r>
    <s v="2025-01-12"/>
    <x v="1"/>
    <s v="Campaign_12"/>
    <x v="11"/>
    <n v="29521"/>
    <n v="2703"/>
    <n v="473"/>
    <n v="22"/>
    <n v="3366"/>
    <s v="C012"/>
    <n v="9.1561938958707359E-2"/>
    <n v="0.17499075101738809"/>
    <n v="4.6511627906976744E-2"/>
    <n v="7.4523220758104401E-4"/>
    <n v="21.659619450317123"/>
    <n v="465.68181818181819"/>
    <n v="153"/>
    <n v="-0.67144948755490486"/>
    <n v="0.32855051244509514"/>
    <n v="-6879"/>
    <x v="0"/>
    <s v="Loss-Making"/>
  </r>
  <r>
    <s v="2025-01-13"/>
    <x v="2"/>
    <s v="Campaign_13"/>
    <x v="12"/>
    <n v="98481"/>
    <n v="4358"/>
    <n v="1121"/>
    <n v="69"/>
    <n v="12075"/>
    <s v="C013"/>
    <n v="4.4252190777916554E-2"/>
    <n v="0.25722808627810922"/>
    <n v="6.1552185548617307E-2"/>
    <n v="7.0064276357876144E-4"/>
    <n v="5.6842105263157894"/>
    <n v="92.347826086956516"/>
    <n v="175"/>
    <n v="0.89500941619585683"/>
    <n v="1.8950094161958568"/>
    <n v="5703"/>
    <x v="0"/>
    <s v="Profitable"/>
  </r>
  <r>
    <s v="2025-01-14"/>
    <x v="0"/>
    <s v="Campaign_14"/>
    <x v="13"/>
    <n v="59228"/>
    <n v="3810"/>
    <n v="749"/>
    <n v="240"/>
    <n v="55440"/>
    <s v="C014"/>
    <n v="6.4327682852704807E-2"/>
    <n v="0.19658792650918636"/>
    <n v="0.32042723631508679"/>
    <n v="4.0521375025325858E-3"/>
    <n v="5.6128170894526033"/>
    <n v="17.516666666666666"/>
    <n v="231"/>
    <n v="12.18744053282588"/>
    <n v="13.18744053282588"/>
    <n v="51236"/>
    <x v="0"/>
    <s v="Profitable"/>
  </r>
  <r>
    <s v="2025-01-15"/>
    <x v="1"/>
    <s v="Campaign_15"/>
    <x v="14"/>
    <n v="30935"/>
    <n v="2537"/>
    <n v="497"/>
    <n v="57"/>
    <n v="12141"/>
    <s v="C015"/>
    <n v="8.2010667528689185E-2"/>
    <n v="0.19590067008277492"/>
    <n v="0.11468812877263582"/>
    <n v="1.8425731372232099E-3"/>
    <n v="20.74446680080483"/>
    <n v="180.87719298245614"/>
    <n v="213"/>
    <n v="0.1775945683802134"/>
    <n v="1.1775945683802134"/>
    <n v="1831"/>
    <x v="0"/>
    <s v="Profitable"/>
  </r>
  <r>
    <s v="2025-01-16"/>
    <x v="0"/>
    <s v="Campaign_16"/>
    <x v="15"/>
    <n v="48703"/>
    <n v="3036"/>
    <n v="986"/>
    <n v="261"/>
    <n v="48024"/>
    <s v="C016"/>
    <n v="6.2337022360018889E-2"/>
    <n v="0.32476943346508563"/>
    <n v="0.26470588235294118"/>
    <n v="5.3590127918198057E-3"/>
    <n v="4.504056795131846"/>
    <n v="17.015325670498083"/>
    <n v="184"/>
    <n v="9.8137806800270209"/>
    <n v="10.813780680027021"/>
    <n v="43583"/>
    <x v="0"/>
    <s v="Profitable"/>
  </r>
  <r>
    <s v="2025-01-17"/>
    <x v="2"/>
    <s v="Campaign_17"/>
    <x v="16"/>
    <n v="76780"/>
    <n v="5884"/>
    <n v="1323"/>
    <n v="92"/>
    <n v="15824"/>
    <s v="C017"/>
    <n v="7.6634540244855429E-2"/>
    <n v="0.22484704282800816"/>
    <n v="6.9538926681783825E-2"/>
    <n v="1.1982287053920293E-3"/>
    <n v="5.4686318972033261"/>
    <n v="78.641304347826093"/>
    <n v="172"/>
    <n v="1.1871458189357291"/>
    <n v="2.1871458189357291"/>
    <n v="8589"/>
    <x v="0"/>
    <s v="Profitable"/>
  </r>
  <r>
    <s v="2025-01-18"/>
    <x v="2"/>
    <s v="Campaign_18"/>
    <x v="17"/>
    <n v="74485"/>
    <n v="4413"/>
    <n v="1076"/>
    <n v="92"/>
    <n v="13984"/>
    <s v="C018"/>
    <n v="5.9246828220447072E-2"/>
    <n v="0.24382506231588488"/>
    <n v="8.5501858736059477E-2"/>
    <n v="1.2351480163791367E-3"/>
    <n v="6.7481412639405205"/>
    <n v="78.923913043478265"/>
    <n v="152"/>
    <n v="0.92590552265528159"/>
    <n v="1.9259055226552817"/>
    <n v="6723"/>
    <x v="0"/>
    <s v="Profitable"/>
  </r>
  <r>
    <s v="2025-01-19"/>
    <x v="0"/>
    <s v="Campaign_19"/>
    <x v="18"/>
    <n v="69268"/>
    <n v="4042"/>
    <n v="900"/>
    <n v="288"/>
    <n v="57312"/>
    <s v="C019"/>
    <n v="5.8353063463648436E-2"/>
    <n v="0.22266204849084612"/>
    <n v="0.32"/>
    <n v="4.1577640468903393E-3"/>
    <n v="4.9833333333333334"/>
    <n v="15.572916666666666"/>
    <n v="199"/>
    <n v="11.778595317725753"/>
    <n v="12.778595317725753"/>
    <n v="52827"/>
    <x v="0"/>
    <s v="Profitable"/>
  </r>
  <r>
    <s v="2025-01-20"/>
    <x v="1"/>
    <s v="Campaign_20"/>
    <x v="19"/>
    <n v="38696"/>
    <n v="2247"/>
    <n v="225"/>
    <n v="55"/>
    <n v="9460"/>
    <s v="C020"/>
    <n v="5.8068017366136038E-2"/>
    <n v="0.10013351134846461"/>
    <n v="0.24444444444444444"/>
    <n v="1.4213355385569568E-3"/>
    <n v="50.386666666666663"/>
    <n v="206.12727272727273"/>
    <n v="172"/>
    <n v="-0.1655640822086972"/>
    <n v="0.83443591779130277"/>
    <n v="-1877"/>
    <x v="0"/>
    <s v="Loss-Making"/>
  </r>
  <r>
    <s v="2025-01-21"/>
    <x v="0"/>
    <s v="Campaign_21"/>
    <x v="20"/>
    <n v="52566"/>
    <n v="4773"/>
    <n v="976"/>
    <n v="182"/>
    <n v="34944"/>
    <s v="C021"/>
    <n v="9.0800136970665454E-2"/>
    <n v="0.20448355332076262"/>
    <n v="0.18647540983606559"/>
    <n v="3.4623140432979492E-3"/>
    <n v="5.9723360655737707"/>
    <n v="32.027472527472526"/>
    <n v="192"/>
    <n v="4.9948533196088523"/>
    <n v="5.9948533196088523"/>
    <n v="29115"/>
    <x v="0"/>
    <s v="Profitable"/>
  </r>
  <r>
    <s v="2025-01-22"/>
    <x v="2"/>
    <s v="Campaign_22"/>
    <x v="21"/>
    <n v="97168"/>
    <n v="4348"/>
    <n v="1314"/>
    <n v="85"/>
    <n v="15215"/>
    <s v="C022"/>
    <n v="4.4747241890334265E-2"/>
    <n v="0.30220791168353267"/>
    <n v="6.4687975646879753E-2"/>
    <n v="8.7477358801251446E-4"/>
    <n v="6.4687975646879758"/>
    <n v="100"/>
    <n v="179"/>
    <n v="0.79"/>
    <n v="1.79"/>
    <n v="6715"/>
    <x v="0"/>
    <s v="Profitable"/>
  </r>
  <r>
    <s v="2025-01-23"/>
    <x v="2"/>
    <s v="Campaign_23"/>
    <x v="22"/>
    <n v="96204"/>
    <n v="4424"/>
    <n v="1446"/>
    <n v="75"/>
    <n v="9450"/>
    <s v="C023"/>
    <n v="4.5985613903787782E-2"/>
    <n v="0.32685352622061481"/>
    <n v="5.1867219917012451E-2"/>
    <n v="7.795933641012848E-4"/>
    <n v="4.2821576763485476"/>
    <n v="82.56"/>
    <n v="126"/>
    <n v="0.52616279069767447"/>
    <n v="1.5261627906976745"/>
    <n v="3258"/>
    <x v="0"/>
    <s v="Profitable"/>
  </r>
  <r>
    <s v="2025-01-24"/>
    <x v="2"/>
    <s v="Campaign_24"/>
    <x v="23"/>
    <n v="77618"/>
    <n v="4965"/>
    <n v="1254"/>
    <n v="54"/>
    <n v="9396"/>
    <s v="C024"/>
    <n v="6.396712102862738E-2"/>
    <n v="0.25256797583081569"/>
    <n v="4.3062200956937802E-2"/>
    <n v="6.9571491148960293E-4"/>
    <n v="5.7041467304625195"/>
    <n v="132.46296296296296"/>
    <n v="174"/>
    <n v="0.31357472389207325"/>
    <n v="1.3135747238920732"/>
    <n v="2243"/>
    <x v="0"/>
    <s v="Profitable"/>
  </r>
  <r>
    <s v="2025-01-25"/>
    <x v="1"/>
    <s v="Campaign_25"/>
    <x v="24"/>
    <n v="31826"/>
    <n v="1935"/>
    <n v="315"/>
    <n v="49"/>
    <n v="8281"/>
    <s v="C025"/>
    <n v="6.0799346446301764E-2"/>
    <n v="0.16279069767441862"/>
    <n v="0.15555555555555556"/>
    <n v="1.5396216929554453E-3"/>
    <n v="34.219047619047622"/>
    <n v="219.9795918367347"/>
    <n v="169"/>
    <n v="-0.23174691529826513"/>
    <n v="0.76825308470173481"/>
    <n v="-2498"/>
    <x v="0"/>
    <s v="Loss-Making"/>
  </r>
  <r>
    <s v="2025-01-26"/>
    <x v="0"/>
    <s v="Campaign_26"/>
    <x v="25"/>
    <n v="55717"/>
    <n v="3184"/>
    <n v="780"/>
    <n v="270"/>
    <n v="51570"/>
    <s v="C026"/>
    <n v="5.714593391603999E-2"/>
    <n v="0.2449748743718593"/>
    <n v="0.34615384615384615"/>
    <n v="4.8459177629807774E-3"/>
    <n v="7.4230769230769234"/>
    <n v="21.444444444444443"/>
    <n v="191"/>
    <n v="7.9067357512953365"/>
    <n v="8.9067357512953365"/>
    <n v="45780"/>
    <x v="0"/>
    <s v="Profitable"/>
  </r>
  <r>
    <s v="2025-01-27"/>
    <x v="0"/>
    <s v="Campaign_27"/>
    <x v="26"/>
    <n v="63189"/>
    <n v="4748"/>
    <n v="805"/>
    <n v="256"/>
    <n v="63488"/>
    <s v="C027"/>
    <n v="7.5139660383927581E-2"/>
    <n v="0.16954507160909857"/>
    <n v="0.31801242236024846"/>
    <n v="4.0513380493440313E-3"/>
    <n v="7.7950310559006208"/>
    <n v="24.51171875"/>
    <n v="248"/>
    <n v="9.1176095617529889"/>
    <n v="10.117609561752989"/>
    <n v="57213"/>
    <x v="0"/>
    <s v="Profitable"/>
  </r>
  <r>
    <s v="2025-01-28"/>
    <x v="2"/>
    <s v="Campaign_28"/>
    <x v="27"/>
    <n v="78356"/>
    <n v="5483"/>
    <n v="1413"/>
    <n v="55"/>
    <n v="8635"/>
    <s v="C028"/>
    <n v="6.997549645209046E-2"/>
    <n v="0.25770563560094839"/>
    <n v="3.8924274593064405E-2"/>
    <n v="7.0192454949206192E-4"/>
    <n v="5.8131634819532909"/>
    <n v="149.34545454545454"/>
    <n v="157"/>
    <n v="5.1253956659362068E-2"/>
    <n v="1.0512539566593622"/>
    <n v="421"/>
    <x v="0"/>
    <s v="Profitable"/>
  </r>
  <r>
    <s v="2025-01-29"/>
    <x v="0"/>
    <s v="Campaign_29"/>
    <x v="28"/>
    <n v="58421"/>
    <n v="3218"/>
    <n v="801"/>
    <n v="259"/>
    <n v="53095"/>
    <s v="C029"/>
    <n v="5.5082932507146402E-2"/>
    <n v="0.24891236793039154"/>
    <n v="0.32334581772784021"/>
    <n v="4.4333373273309253E-3"/>
    <n v="7.7915106117353305"/>
    <n v="24.096525096525095"/>
    <n v="205"/>
    <n v="7.5074507290498316"/>
    <n v="8.5074507290498325"/>
    <n v="46854"/>
    <x v="0"/>
    <s v="Profitable"/>
  </r>
  <r>
    <s v="2025-01-30"/>
    <x v="0"/>
    <s v="Campaign_30"/>
    <x v="29"/>
    <n v="62038"/>
    <n v="3302"/>
    <n v="710"/>
    <n v="193"/>
    <n v="41495"/>
    <s v="C030"/>
    <n v="5.322544247074374E-2"/>
    <n v="0.21502119927316779"/>
    <n v="0.27183098591549298"/>
    <n v="3.1109964860246944E-3"/>
    <n v="8.3760563380281692"/>
    <n v="30.813471502590673"/>
    <n v="215"/>
    <n v="5.9774676307381878"/>
    <n v="6.9774676307381878"/>
    <n v="35548"/>
    <x v="0"/>
    <s v="Profitable"/>
  </r>
  <r>
    <s v="2025-01-31"/>
    <x v="1"/>
    <s v="Campaign_31"/>
    <x v="30"/>
    <n v="32036"/>
    <n v="2333"/>
    <n v="406"/>
    <n v="21"/>
    <n v="3990"/>
    <s v="C031"/>
    <n v="7.282432263703334E-2"/>
    <n v="0.17402486069438491"/>
    <n v="5.1724137931034482E-2"/>
    <n v="6.5551254838306901E-4"/>
    <n v="33.908866995073893"/>
    <n v="655.57142857142856"/>
    <n v="190"/>
    <n v="-0.7101765090433646"/>
    <n v="0.28982349095663545"/>
    <n v="-9777"/>
    <x v="0"/>
    <s v="Loss-Making"/>
  </r>
  <r>
    <s v="2025-02-01"/>
    <x v="0"/>
    <s v="Campaign_32"/>
    <x v="31"/>
    <n v="60953"/>
    <n v="3393"/>
    <n v="797"/>
    <n v="291"/>
    <n v="66348"/>
    <s v="C032"/>
    <n v="5.5665840893803421E-2"/>
    <n v="0.23489537282640732"/>
    <n v="0.36511919698870765"/>
    <n v="4.7741702623332735E-3"/>
    <n v="5.6750313676286073"/>
    <n v="15.542955326460481"/>
    <n v="228"/>
    <n v="13.669024983418085"/>
    <n v="14.669024983418085"/>
    <n v="61825"/>
    <x v="1"/>
    <s v="Profitable"/>
  </r>
  <r>
    <s v="2025-02-02"/>
    <x v="0"/>
    <s v="Campaign_33"/>
    <x v="32"/>
    <n v="62262"/>
    <n v="4370"/>
    <n v="938"/>
    <n v="229"/>
    <n v="47861"/>
    <s v="C033"/>
    <n v="7.0187273136102277E-2"/>
    <n v="0.21464530892448513"/>
    <n v="0.24413646055437099"/>
    <n v="3.6780058462625677E-3"/>
    <n v="6.270788912579957"/>
    <n v="25.685589519650655"/>
    <n v="209"/>
    <n v="7.1368582114926893"/>
    <n v="8.1368582114926902"/>
    <n v="41979"/>
    <x v="1"/>
    <s v="Profitable"/>
  </r>
  <r>
    <s v="2025-02-03"/>
    <x v="2"/>
    <s v="Campaign_34"/>
    <x v="33"/>
    <n v="92836"/>
    <n v="4507"/>
    <n v="1357"/>
    <n v="75"/>
    <n v="12750"/>
    <s v="C034"/>
    <n v="4.8547977077857726E-2"/>
    <n v="0.30108719769247838"/>
    <n v="5.5268975681650699E-2"/>
    <n v="8.0787625490111596E-4"/>
    <n v="6.0442151805453204"/>
    <n v="109.36"/>
    <n v="170"/>
    <n v="0.55449890270665692"/>
    <n v="1.5544989027066569"/>
    <n v="4548"/>
    <x v="1"/>
    <s v="Profitable"/>
  </r>
  <r>
    <s v="2025-02-04"/>
    <x v="0"/>
    <s v="Campaign_35"/>
    <x v="34"/>
    <n v="45631"/>
    <n v="3873"/>
    <n v="842"/>
    <n v="229"/>
    <n v="46716"/>
    <s v="C035"/>
    <n v="8.4876509390545904E-2"/>
    <n v="0.21740253033823909"/>
    <n v="0.27197149643705465"/>
    <n v="5.0185181126865507E-3"/>
    <n v="6.0641330166270784"/>
    <n v="22.296943231441048"/>
    <n v="204"/>
    <n v="8.1492361927144543"/>
    <n v="9.1492361927144543"/>
    <n v="41610"/>
    <x v="1"/>
    <s v="Profitable"/>
  </r>
  <r>
    <s v="2025-02-05"/>
    <x v="2"/>
    <s v="Campaign_36"/>
    <x v="35"/>
    <n v="87954"/>
    <n v="5595"/>
    <n v="1430"/>
    <n v="51"/>
    <n v="8364"/>
    <s v="C036"/>
    <n v="6.3612797598744802E-2"/>
    <n v="0.25558534405719391"/>
    <n v="3.5664335664335661E-2"/>
    <n v="5.7984855720035475E-4"/>
    <n v="5.6734265734265739"/>
    <n v="159.07843137254903"/>
    <n v="164"/>
    <n v="3.0938000739553804E-2"/>
    <n v="1.0309380007395539"/>
    <n v="251"/>
    <x v="1"/>
    <s v="Profitable"/>
  </r>
  <r>
    <s v="2025-02-06"/>
    <x v="0"/>
    <s v="Campaign_37"/>
    <x v="36"/>
    <n v="68457"/>
    <n v="3397"/>
    <n v="720"/>
    <n v="255"/>
    <n v="54060"/>
    <s v="C037"/>
    <n v="4.9622390697810305E-2"/>
    <n v="0.21195172210774213"/>
    <n v="0.35416666666666669"/>
    <n v="3.724966037074368E-3"/>
    <n v="7.9694444444444441"/>
    <n v="22.501960784313727"/>
    <n v="212"/>
    <n v="8.4214011850819102"/>
    <n v="9.4214011850819102"/>
    <n v="48322"/>
    <x v="1"/>
    <s v="Profitable"/>
  </r>
  <r>
    <s v="2025-02-07"/>
    <x v="0"/>
    <s v="Campaign_38"/>
    <x v="37"/>
    <n v="41184"/>
    <n v="3629"/>
    <n v="998"/>
    <n v="210"/>
    <n v="40320"/>
    <s v="C038"/>
    <n v="8.8116744366744368E-2"/>
    <n v="0.27500688895012398"/>
    <n v="0.21042084168336672"/>
    <n v="5.099067599067599E-3"/>
    <n v="4.4679358717434869"/>
    <n v="21.233333333333334"/>
    <n v="192"/>
    <n v="8.0423861852433287"/>
    <n v="9.0423861852433287"/>
    <n v="35861"/>
    <x v="1"/>
    <s v="Profitable"/>
  </r>
  <r>
    <s v="2025-02-08"/>
    <x v="0"/>
    <s v="Campaign_39"/>
    <x v="38"/>
    <n v="60523"/>
    <n v="3095"/>
    <n v="944"/>
    <n v="209"/>
    <n v="51832"/>
    <s v="C039"/>
    <n v="5.1137584058952794E-2"/>
    <n v="0.30500807754442649"/>
    <n v="0.22139830508474576"/>
    <n v="3.453232655354163E-3"/>
    <n v="7.3771186440677967"/>
    <n v="33.320574162679428"/>
    <n v="248"/>
    <n v="6.442848937392303"/>
    <n v="7.442848937392303"/>
    <n v="44868"/>
    <x v="1"/>
    <s v="Profitable"/>
  </r>
  <r>
    <s v="2025-02-09"/>
    <x v="2"/>
    <s v="Campaign_40"/>
    <x v="39"/>
    <n v="97300"/>
    <n v="4457"/>
    <n v="1294"/>
    <n v="54"/>
    <n v="8370"/>
    <s v="C040"/>
    <n v="4.5806783144912641E-2"/>
    <n v="0.29032981826340587"/>
    <n v="4.1731066460587329E-2"/>
    <n v="5.5498458376156221E-4"/>
    <n v="5.5973724884080367"/>
    <n v="134.12962962962962"/>
    <n v="155"/>
    <n v="0.15559850890514981"/>
    <n v="1.1555985089051497"/>
    <n v="1127"/>
    <x v="1"/>
    <s v="Profitable"/>
  </r>
  <r>
    <s v="2025-02-10"/>
    <x v="0"/>
    <s v="Campaign_41"/>
    <x v="40"/>
    <n v="47271"/>
    <n v="3520"/>
    <n v="916"/>
    <n v="219"/>
    <n v="51027"/>
    <s v="C041"/>
    <n v="7.4464259271011829E-2"/>
    <n v="0.26022727272727275"/>
    <n v="0.23908296943231441"/>
    <n v="4.6328615853271559E-3"/>
    <n v="6.7947598253275112"/>
    <n v="28.420091324200914"/>
    <n v="233"/>
    <n v="7.1984254498714657"/>
    <n v="8.1984254498714648"/>
    <n v="44803"/>
    <x v="1"/>
    <s v="Profitable"/>
  </r>
  <r>
    <s v="2025-02-11"/>
    <x v="2"/>
    <s v="Campaign_42"/>
    <x v="41"/>
    <n v="89641"/>
    <n v="4617"/>
    <n v="1147"/>
    <n v="42"/>
    <n v="5712"/>
    <s v="C042"/>
    <n v="5.1505449515288765E-2"/>
    <n v="0.24842971626597357"/>
    <n v="3.6617262423714034E-2"/>
    <n v="4.6853560312803294E-4"/>
    <n v="5.3234524847428073"/>
    <n v="145.38095238095238"/>
    <n v="136"/>
    <n v="-6.4526695054045208E-2"/>
    <n v="0.93547330494595482"/>
    <n v="-394"/>
    <x v="1"/>
    <s v="Loss-Making"/>
  </r>
  <r>
    <s v="2025-02-12"/>
    <x v="0"/>
    <s v="Campaign_43"/>
    <x v="42"/>
    <n v="52612"/>
    <n v="3045"/>
    <n v="803"/>
    <n v="298"/>
    <n v="70626"/>
    <s v="C043"/>
    <n v="5.7876530069185736E-2"/>
    <n v="0.26371100164203615"/>
    <n v="0.37110834371108342"/>
    <n v="5.6641070478217898E-3"/>
    <n v="5.1618929016189288"/>
    <n v="13.909395973154362"/>
    <n v="237"/>
    <n v="16.038841978287092"/>
    <n v="17.038841978287092"/>
    <n v="66481"/>
    <x v="1"/>
    <s v="Profitable"/>
  </r>
  <r>
    <s v="2025-02-13"/>
    <x v="2"/>
    <s v="Campaign_44"/>
    <x v="43"/>
    <n v="76169"/>
    <n v="4090"/>
    <n v="1005"/>
    <n v="81"/>
    <n v="14256"/>
    <s v="C044"/>
    <n v="5.3696385668710371E-2"/>
    <n v="0.24572127139364303"/>
    <n v="8.0597014925373134E-2"/>
    <n v="1.0634247528522101E-3"/>
    <n v="8.0318407960198996"/>
    <n v="99.654320987654316"/>
    <n v="176"/>
    <n v="0.76610505450941524"/>
    <n v="1.7661050545094152"/>
    <n v="6184"/>
    <x v="1"/>
    <s v="Profitable"/>
  </r>
  <r>
    <s v="2025-02-14"/>
    <x v="1"/>
    <s v="Campaign_45"/>
    <x v="44"/>
    <n v="37859"/>
    <n v="1945"/>
    <n v="207"/>
    <n v="48"/>
    <n v="9648"/>
    <s v="C045"/>
    <n v="5.1374838215483769E-2"/>
    <n v="0.106426735218509"/>
    <n v="0.2318840579710145"/>
    <n v="1.2678623312818616E-3"/>
    <n v="60.835748792270529"/>
    <n v="262.35416666666669"/>
    <n v="201"/>
    <n v="-0.23386008099737951"/>
    <n v="0.76613991900262046"/>
    <n v="-2945"/>
    <x v="1"/>
    <s v="Loss-Making"/>
  </r>
  <r>
    <s v="2025-02-15"/>
    <x v="0"/>
    <s v="Campaign_46"/>
    <x v="45"/>
    <n v="44677"/>
    <n v="4771"/>
    <n v="709"/>
    <n v="280"/>
    <n v="50400"/>
    <s v="C046"/>
    <n v="0.10678872798084026"/>
    <n v="0.14860616223014042"/>
    <n v="0.39492242595204513"/>
    <n v="6.2672068402086084E-3"/>
    <n v="8.2186177715091677"/>
    <n v="20.810714285714287"/>
    <n v="180"/>
    <n v="7.6493907671185859"/>
    <n v="8.6493907671185859"/>
    <n v="44573"/>
    <x v="1"/>
    <s v="Profitable"/>
  </r>
  <r>
    <s v="2025-02-16"/>
    <x v="2"/>
    <s v="Campaign_47"/>
    <x v="46"/>
    <n v="78994"/>
    <n v="5163"/>
    <n v="1038"/>
    <n v="77"/>
    <n v="10780"/>
    <s v="C047"/>
    <n v="6.5359394384383623E-2"/>
    <n v="0.2010459035444509"/>
    <n v="7.4181117533718685E-2"/>
    <n v="9.747575765247994E-4"/>
    <n v="7.1165703275529868"/>
    <n v="95.935064935064929"/>
    <n v="140"/>
    <n v="0.45932042777852983"/>
    <n v="1.4593204277785299"/>
    <n v="3393"/>
    <x v="1"/>
    <s v="Profitable"/>
  </r>
  <r>
    <s v="2025-02-17"/>
    <x v="2"/>
    <s v="Campaign_48"/>
    <x v="47"/>
    <n v="73834"/>
    <n v="4203"/>
    <n v="1122"/>
    <n v="83"/>
    <n v="14691"/>
    <s v="C048"/>
    <n v="5.6924993905246905E-2"/>
    <n v="0.26695217701641683"/>
    <n v="7.3975044563279857E-2"/>
    <n v="1.1241433485927892E-3"/>
    <n v="8.0026737967914432"/>
    <n v="108.18072289156626"/>
    <n v="177"/>
    <n v="0.63615101904443705"/>
    <n v="1.636151019044437"/>
    <n v="5712"/>
    <x v="1"/>
    <s v="Profitable"/>
  </r>
  <r>
    <s v="2025-02-18"/>
    <x v="1"/>
    <s v="Campaign_49"/>
    <x v="48"/>
    <n v="28136"/>
    <n v="2932"/>
    <n v="404"/>
    <n v="20"/>
    <n v="4160"/>
    <s v="C049"/>
    <n v="0.10420813193062269"/>
    <n v="0.1377899045020464"/>
    <n v="4.9504950495049507E-2"/>
    <n v="7.108330963889679E-4"/>
    <n v="26.695544554455445"/>
    <n v="539.25"/>
    <n v="208"/>
    <n v="-0.6142790913305517"/>
    <n v="0.3857209086694483"/>
    <n v="-6625"/>
    <x v="1"/>
    <s v="Loss-Making"/>
  </r>
  <r>
    <s v="2025-02-19"/>
    <x v="2"/>
    <s v="Campaign_50"/>
    <x v="49"/>
    <n v="84167"/>
    <n v="4062"/>
    <n v="1213"/>
    <n v="61"/>
    <n v="8601"/>
    <s v="C050"/>
    <n v="4.8261195005168296E-2"/>
    <n v="0.29862136878385032"/>
    <n v="5.0288540807914263E-2"/>
    <n v="7.2474960495205959E-4"/>
    <n v="6.1401483924154991"/>
    <n v="122.09836065573771"/>
    <n v="141"/>
    <n v="0.15480665950590763"/>
    <n v="1.1548066595059077"/>
    <n v="1153"/>
    <x v="1"/>
    <s v="Profitable"/>
  </r>
  <r>
    <s v="2025-02-20"/>
    <x v="2"/>
    <s v="Campaign_51"/>
    <x v="50"/>
    <n v="82424"/>
    <n v="5530"/>
    <n v="1012"/>
    <n v="74"/>
    <n v="12950"/>
    <s v="C051"/>
    <n v="6.709210909443851E-2"/>
    <n v="0.18300180831826401"/>
    <n v="7.3122529644268769E-2"/>
    <n v="8.9779675822575949E-4"/>
    <n v="8.2944664031620547"/>
    <n v="113.43243243243244"/>
    <n v="175"/>
    <n v="0.54276864426971649"/>
    <n v="1.5427686442697164"/>
    <n v="4556"/>
    <x v="1"/>
    <s v="Profitable"/>
  </r>
  <r>
    <s v="2025-02-21"/>
    <x v="1"/>
    <s v="Campaign_52"/>
    <x v="51"/>
    <n v="28116"/>
    <n v="1812"/>
    <n v="352"/>
    <n v="49"/>
    <n v="8085"/>
    <s v="C052"/>
    <n v="6.444728979940248E-2"/>
    <n v="0.19426048565121412"/>
    <n v="0.13920454545454544"/>
    <n v="1.7427799117939963E-3"/>
    <n v="34.00568181818182"/>
    <n v="244.28571428571428"/>
    <n v="165"/>
    <n v="-0.32456140350877194"/>
    <n v="0.67543859649122806"/>
    <n v="-3885"/>
    <x v="1"/>
    <s v="Loss-Making"/>
  </r>
  <r>
    <s v="2025-02-22"/>
    <x v="0"/>
    <s v="Campaign_53"/>
    <x v="52"/>
    <n v="50190"/>
    <n v="4565"/>
    <n v="976"/>
    <n v="295"/>
    <n v="62835"/>
    <s v="C053"/>
    <n v="9.0954373381151629E-2"/>
    <n v="0.21380065717415114"/>
    <n v="0.30225409836065575"/>
    <n v="5.8776648734807733E-3"/>
    <n v="6.3217213114754101"/>
    <n v="20.915254237288135"/>
    <n v="213"/>
    <n v="9.1839546191247976"/>
    <n v="10.183954619124798"/>
    <n v="56665"/>
    <x v="1"/>
    <s v="Profitable"/>
  </r>
  <r>
    <s v="2025-02-23"/>
    <x v="1"/>
    <s v="Campaign_54"/>
    <x v="53"/>
    <n v="31481"/>
    <n v="2970"/>
    <n v="370"/>
    <n v="47"/>
    <n v="9165"/>
    <s v="C054"/>
    <n v="9.4342619357707824E-2"/>
    <n v="0.12457912457912458"/>
    <n v="0.12702702702702703"/>
    <n v="1.4929640100378005E-3"/>
    <n v="34.854054054054053"/>
    <n v="274.38297872340428"/>
    <n v="195"/>
    <n v="-0.28931451612903225"/>
    <n v="0.71068548387096775"/>
    <n v="-3731"/>
    <x v="1"/>
    <s v="Loss-Making"/>
  </r>
  <r>
    <s v="2025-02-24"/>
    <x v="0"/>
    <s v="Campaign_55"/>
    <x v="54"/>
    <n v="45733"/>
    <n v="4786"/>
    <n v="725"/>
    <n v="238"/>
    <n v="58310"/>
    <s v="C055"/>
    <n v="0.10465090853431876"/>
    <n v="0.15148349352277476"/>
    <n v="0.32827586206896553"/>
    <n v="5.20411956355367E-3"/>
    <n v="5.8758620689655174"/>
    <n v="17.899159663865547"/>
    <n v="245"/>
    <n v="12.687793427230046"/>
    <n v="13.687793427230046"/>
    <n v="54050"/>
    <x v="1"/>
    <s v="Profitable"/>
  </r>
  <r>
    <s v="2025-02-25"/>
    <x v="2"/>
    <s v="Campaign_56"/>
    <x v="55"/>
    <n v="71687"/>
    <n v="5719"/>
    <n v="1465"/>
    <n v="61"/>
    <n v="7564"/>
    <s v="C056"/>
    <n v="7.9777365491651209E-2"/>
    <n v="0.25616366497639448"/>
    <n v="4.1638225255972695E-2"/>
    <n v="8.5092136649601738E-4"/>
    <n v="5.0764505119453922"/>
    <n v="121.91803278688525"/>
    <n v="124"/>
    <n v="1.7076778270808123E-2"/>
    <n v="1.0170767782708081"/>
    <n v="127"/>
    <x v="1"/>
    <s v="Profitable"/>
  </r>
  <r>
    <s v="2025-02-26"/>
    <x v="2"/>
    <s v="Campaign_57"/>
    <x v="56"/>
    <n v="93499"/>
    <n v="5147"/>
    <n v="1421"/>
    <n v="54"/>
    <n v="9504"/>
    <s v="C057"/>
    <n v="5.5048717098578594E-2"/>
    <n v="0.27608315523605986"/>
    <n v="3.8001407459535536E-2"/>
    <n v="5.775462839174751E-4"/>
    <n v="4.2477128782547497"/>
    <n v="111.77777777777777"/>
    <n v="176"/>
    <n v="0.57455268389662029"/>
    <n v="1.5745526838966202"/>
    <n v="3468"/>
    <x v="1"/>
    <s v="Profitable"/>
  </r>
  <r>
    <s v="2025-02-27"/>
    <x v="0"/>
    <s v="Campaign_58"/>
    <x v="57"/>
    <n v="68581"/>
    <n v="3964"/>
    <n v="896"/>
    <n v="290"/>
    <n v="71630"/>
    <s v="C058"/>
    <n v="5.7800265379624093E-2"/>
    <n v="0.22603430877901109"/>
    <n v="0.3236607142857143"/>
    <n v="4.2285764278736093E-3"/>
    <n v="6.0904017857142856"/>
    <n v="18.817241379310346"/>
    <n v="247"/>
    <n v="12.126259849734286"/>
    <n v="13.126259849734286"/>
    <n v="66173"/>
    <x v="1"/>
    <s v="Profitable"/>
  </r>
  <r>
    <s v="2025-02-28"/>
    <x v="0"/>
    <s v="Campaign_59"/>
    <x v="58"/>
    <n v="69151"/>
    <n v="3961"/>
    <n v="732"/>
    <n v="202"/>
    <n v="47066"/>
    <s v="C059"/>
    <n v="5.7280444245202525E-2"/>
    <n v="0.18480181772279727"/>
    <n v="0.27595628415300544"/>
    <n v="2.9211435843299444E-3"/>
    <n v="7.5642076502732243"/>
    <n v="27.410891089108912"/>
    <n v="233"/>
    <n v="7.5002709048221057"/>
    <n v="8.5002709048221057"/>
    <n v="41529"/>
    <x v="1"/>
    <s v="Profitable"/>
  </r>
  <r>
    <s v="2025-03-01"/>
    <x v="0"/>
    <s v="Campaign_60"/>
    <x v="59"/>
    <n v="62512"/>
    <n v="4777"/>
    <n v="925"/>
    <n v="254"/>
    <n v="55880"/>
    <s v="C060"/>
    <n v="7.6417327873048377E-2"/>
    <n v="0.19363617333054217"/>
    <n v="0.27459459459459462"/>
    <n v="4.063219861786537E-3"/>
    <n v="4.9664864864864864"/>
    <n v="18.086614173228348"/>
    <n v="220"/>
    <n v="11.16369177187636"/>
    <n v="12.16369177187636"/>
    <n v="51286"/>
    <x v="2"/>
    <s v="Profitable"/>
  </r>
  <r>
    <s v="2025-01-01"/>
    <x v="2"/>
    <s v="Campaign_61"/>
    <x v="60"/>
    <n v="73469"/>
    <n v="4755"/>
    <n v="1271"/>
    <n v="97"/>
    <n v="14356"/>
    <s v="C061"/>
    <n v="6.4721174917312066E-2"/>
    <n v="0.26729758149316507"/>
    <n v="7.6317859952793082E-2"/>
    <n v="1.3202847459472702E-3"/>
    <n v="6.0196695515342249"/>
    <n v="78.876288659793815"/>
    <n v="148"/>
    <n v="0.87635603189125599"/>
    <n v="1.876356031891256"/>
    <n v="6705"/>
    <x v="0"/>
    <s v="Profitable"/>
  </r>
  <r>
    <s v="2025-01-02"/>
    <x v="0"/>
    <s v="Campaign_62"/>
    <x v="61"/>
    <n v="56450"/>
    <n v="4867"/>
    <n v="728"/>
    <n v="203"/>
    <n v="36540"/>
    <s v="C062"/>
    <n v="8.6217891939769711E-2"/>
    <n v="0.14957879597287857"/>
    <n v="0.27884615384615385"/>
    <n v="3.5961027457927369E-3"/>
    <n v="7.1552197802197801"/>
    <n v="25.660098522167488"/>
    <n v="180"/>
    <n v="6.0147821078901904"/>
    <n v="7.0147821078901904"/>
    <n v="31331"/>
    <x v="0"/>
    <s v="Profitable"/>
  </r>
  <r>
    <s v="2025-01-03"/>
    <x v="2"/>
    <s v="Campaign_63"/>
    <x v="62"/>
    <n v="90773"/>
    <n v="4241"/>
    <n v="1207"/>
    <n v="75"/>
    <n v="10650"/>
    <s v="C063"/>
    <n v="4.6720941249049824E-2"/>
    <n v="0.28460268804527233"/>
    <n v="6.2137531068765538E-2"/>
    <n v="8.2623687660427663E-4"/>
    <n v="5.55840927920464"/>
    <n v="89.453333333333333"/>
    <n v="142"/>
    <n v="0.58741988373826204"/>
    <n v="1.587419883738262"/>
    <n v="3941"/>
    <x v="0"/>
    <s v="Profitable"/>
  </r>
  <r>
    <s v="2025-01-04"/>
    <x v="0"/>
    <s v="Campaign_64"/>
    <x v="63"/>
    <n v="54536"/>
    <n v="4159"/>
    <n v="753"/>
    <n v="242"/>
    <n v="45012"/>
    <s v="C064"/>
    <n v="7.6261552002347077E-2"/>
    <n v="0.18105313777350324"/>
    <n v="0.32138114209827356"/>
    <n v="4.4374358222091827E-3"/>
    <n v="7.2443559096945549"/>
    <n v="22.541322314049587"/>
    <n v="186"/>
    <n v="7.2515123739688363"/>
    <n v="8.2515123739688363"/>
    <n v="39557"/>
    <x v="0"/>
    <s v="Profitable"/>
  </r>
  <r>
    <s v="2025-01-05"/>
    <x v="2"/>
    <s v="Campaign_65"/>
    <x v="64"/>
    <n v="86847"/>
    <n v="5645"/>
    <n v="1115"/>
    <n v="85"/>
    <n v="13515"/>
    <s v="C065"/>
    <n v="6.499936670236163E-2"/>
    <n v="0.19751992914083261"/>
    <n v="7.623318385650224E-2"/>
    <n v="9.787327138530979E-4"/>
    <n v="7.1686098654708523"/>
    <n v="94.035294117647055"/>
    <n v="159"/>
    <n v="0.6908544976854748"/>
    <n v="1.6908544976854747"/>
    <n v="5522"/>
    <x v="0"/>
    <s v="Profitable"/>
  </r>
  <r>
    <s v="2025-01-06"/>
    <x v="1"/>
    <s v="Campaign_66"/>
    <x v="65"/>
    <n v="37997"/>
    <n v="2364"/>
    <n v="380"/>
    <n v="50"/>
    <n v="9550"/>
    <s v="C066"/>
    <n v="6.2215438060899547E-2"/>
    <n v="0.16074450084602368"/>
    <n v="0.13157894736842105"/>
    <n v="1.3158933600021054E-3"/>
    <n v="26.647368421052633"/>
    <n v="202.52"/>
    <n v="191"/>
    <n v="-5.6883270788070317E-2"/>
    <n v="0.94311672921192968"/>
    <n v="-576"/>
    <x v="0"/>
    <s v="Loss-Making"/>
  </r>
  <r>
    <s v="2025-01-07"/>
    <x v="2"/>
    <s v="Campaign_67"/>
    <x v="66"/>
    <n v="90745"/>
    <n v="4977"/>
    <n v="1014"/>
    <n v="45"/>
    <n v="5670"/>
    <s v="C067"/>
    <n v="5.4845997024629459E-2"/>
    <n v="0.20373719107896324"/>
    <n v="4.4378698224852069E-2"/>
    <n v="4.9589509063860263E-4"/>
    <n v="6.3678500986193294"/>
    <n v="143.48888888888888"/>
    <n v="126"/>
    <n v="-0.1218832275050333"/>
    <n v="0.87811677249496667"/>
    <n v="-787"/>
    <x v="0"/>
    <s v="Loss-Making"/>
  </r>
  <r>
    <s v="2025-01-08"/>
    <x v="2"/>
    <s v="Campaign_68"/>
    <x v="67"/>
    <n v="70608"/>
    <n v="5597"/>
    <n v="1181"/>
    <n v="97"/>
    <n v="13871"/>
    <s v="C068"/>
    <n v="7.9268638114661227E-2"/>
    <n v="0.2110058960157227"/>
    <n v="8.2133784928027101E-2"/>
    <n v="1.3737820077045094E-3"/>
    <n v="5.740897544453853"/>
    <n v="69.896907216494839"/>
    <n v="143"/>
    <n v="1.0458702064896754"/>
    <n v="2.0458702064896754"/>
    <n v="7091"/>
    <x v="0"/>
    <s v="Profitable"/>
  </r>
  <r>
    <s v="2025-01-09"/>
    <x v="0"/>
    <s v="Campaign_69"/>
    <x v="68"/>
    <n v="53384"/>
    <n v="4973"/>
    <n v="826"/>
    <n v="204"/>
    <n v="42432"/>
    <s v="C069"/>
    <n v="9.3155252510115388E-2"/>
    <n v="0.16609692338628596"/>
    <n v="0.24697336561743341"/>
    <n v="3.8213696987861533E-3"/>
    <n v="8.2433414043583539"/>
    <n v="33.377450980392155"/>
    <n v="208"/>
    <n v="5.2317520928183283"/>
    <n v="6.2317520928183283"/>
    <n v="35623"/>
    <x v="0"/>
    <s v="Profitable"/>
  </r>
  <r>
    <s v="2025-01-10"/>
    <x v="1"/>
    <s v="Campaign_70"/>
    <x v="69"/>
    <n v="26615"/>
    <n v="1771"/>
    <n v="368"/>
    <n v="29"/>
    <n v="5162"/>
    <s v="C070"/>
    <n v="6.6541424009017469E-2"/>
    <n v="0.20779220779220781"/>
    <n v="7.880434782608696E-2"/>
    <n v="1.0896111215479992E-3"/>
    <n v="36.690217391304351"/>
    <n v="465.58620689655174"/>
    <n v="178"/>
    <n v="-0.61768626870093324"/>
    <n v="0.38231373129906682"/>
    <n v="-8340"/>
    <x v="0"/>
    <s v="Loss-Making"/>
  </r>
  <r>
    <s v="2025-01-11"/>
    <x v="2"/>
    <s v="Campaign_71"/>
    <x v="70"/>
    <n v="97099"/>
    <n v="5893"/>
    <n v="1120"/>
    <n v="49"/>
    <n v="7546"/>
    <s v="C071"/>
    <n v="6.0690635330950884E-2"/>
    <n v="0.19005599864245715"/>
    <n v="4.3749999999999997E-2"/>
    <n v="5.0463959464052148E-4"/>
    <n v="7.9080357142857141"/>
    <n v="180.75510204081633"/>
    <n v="154"/>
    <n v="-0.14801851642768432"/>
    <n v="0.85198148357231573"/>
    <n v="-1311"/>
    <x v="0"/>
    <s v="Loss-Making"/>
  </r>
  <r>
    <s v="2025-01-12"/>
    <x v="0"/>
    <s v="Campaign_72"/>
    <x v="71"/>
    <n v="57933"/>
    <n v="4807"/>
    <n v="959"/>
    <n v="188"/>
    <n v="44932"/>
    <s v="C072"/>
    <n v="8.2975160961800701E-2"/>
    <n v="0.19950072810484709"/>
    <n v="0.19603753910323254"/>
    <n v="3.2451279926812007E-3"/>
    <n v="6.7111574556830034"/>
    <n v="34.234042553191486"/>
    <n v="239"/>
    <n v="5.9813548788067123"/>
    <n v="6.9813548788067123"/>
    <n v="38496"/>
    <x v="0"/>
    <s v="Profitable"/>
  </r>
  <r>
    <s v="2025-01-13"/>
    <x v="0"/>
    <s v="Campaign_73"/>
    <x v="72"/>
    <n v="48784"/>
    <n v="4097"/>
    <n v="771"/>
    <n v="214"/>
    <n v="39804"/>
    <s v="C073"/>
    <n v="8.3982453263365037E-2"/>
    <n v="0.18818647791066634"/>
    <n v="0.27756160830090792"/>
    <n v="4.3866841587405711E-3"/>
    <n v="6.6627756160830094"/>
    <n v="24.004672897196262"/>
    <n v="186"/>
    <n v="6.7484913373564339"/>
    <n v="7.7484913373564339"/>
    <n v="34667"/>
    <x v="0"/>
    <s v="Profitable"/>
  </r>
  <r>
    <s v="2025-01-14"/>
    <x v="2"/>
    <s v="Campaign_74"/>
    <x v="73"/>
    <n v="76580"/>
    <n v="5952"/>
    <n v="1484"/>
    <n v="75"/>
    <n v="11775"/>
    <s v="C074"/>
    <n v="7.7722642987725257E-2"/>
    <n v="0.24932795698924731"/>
    <n v="5.0539083557951482E-2"/>
    <n v="9.7936798119613484E-4"/>
    <n v="4.1556603773584904"/>
    <n v="82.226666666666674"/>
    <n v="157"/>
    <n v="0.90935625101345874"/>
    <n v="1.9093562510134587"/>
    <n v="5608"/>
    <x v="0"/>
    <s v="Profitable"/>
  </r>
  <r>
    <s v="2025-01-15"/>
    <x v="2"/>
    <s v="Campaign_75"/>
    <x v="74"/>
    <n v="86015"/>
    <n v="4076"/>
    <n v="1489"/>
    <n v="84"/>
    <n v="10164"/>
    <s v="C075"/>
    <n v="4.7387083648200892E-2"/>
    <n v="0.36530912659470066"/>
    <n v="5.6413700470114174E-2"/>
    <n v="9.7657385339766319E-4"/>
    <n v="4.6198791134989925"/>
    <n v="81.892857142857139"/>
    <n v="121"/>
    <n v="0.47754034016572178"/>
    <n v="1.4775403401657217"/>
    <n v="3285"/>
    <x v="0"/>
    <s v="Profitable"/>
  </r>
  <r>
    <s v="2025-01-16"/>
    <x v="1"/>
    <s v="Campaign_76"/>
    <x v="75"/>
    <n v="31551"/>
    <n v="1875"/>
    <n v="267"/>
    <n v="57"/>
    <n v="10089"/>
    <s v="C076"/>
    <n v="5.9427593420176859E-2"/>
    <n v="0.1424"/>
    <n v="0.21348314606741572"/>
    <n v="1.8065988399733764E-3"/>
    <n v="40.41198501872659"/>
    <n v="189.2982456140351"/>
    <n v="177"/>
    <n v="-6.4967562557924005E-2"/>
    <n v="0.93503243744207598"/>
    <n v="-701"/>
    <x v="0"/>
    <s v="Loss-Making"/>
  </r>
  <r>
    <s v="2025-01-17"/>
    <x v="2"/>
    <s v="Campaign_77"/>
    <x v="76"/>
    <n v="91309"/>
    <n v="4774"/>
    <n v="1022"/>
    <n v="56"/>
    <n v="7168"/>
    <s v="C077"/>
    <n v="5.2284002672244798E-2"/>
    <n v="0.21407624633431085"/>
    <n v="5.4794520547945202E-2"/>
    <n v="6.1330208413190373E-4"/>
    <n v="6.5097847358121328"/>
    <n v="118.80357142857143"/>
    <n v="128"/>
    <n v="7.7408687810010521E-2"/>
    <n v="1.0774086878100104"/>
    <n v="515"/>
    <x v="0"/>
    <s v="Profitable"/>
  </r>
  <r>
    <s v="2025-01-18"/>
    <x v="0"/>
    <s v="Campaign_78"/>
    <x v="18"/>
    <n v="46110"/>
    <n v="3824"/>
    <n v="822"/>
    <n v="293"/>
    <n v="67097"/>
    <s v="C078"/>
    <n v="8.293211884623726E-2"/>
    <n v="0.21495815899581591"/>
    <n v="0.35644768856447689"/>
    <n v="6.3543699848189117E-3"/>
    <n v="5.4562043795620436"/>
    <n v="15.30716723549488"/>
    <n v="229"/>
    <n v="13.960312151616499"/>
    <n v="14.960312151616499"/>
    <n v="62612"/>
    <x v="0"/>
    <s v="Profitable"/>
  </r>
  <r>
    <s v="2025-01-19"/>
    <x v="2"/>
    <s v="Campaign_79"/>
    <x v="77"/>
    <n v="79645"/>
    <n v="4808"/>
    <n v="1459"/>
    <n v="51"/>
    <n v="6171"/>
    <s v="C079"/>
    <n v="6.0367882478498336E-2"/>
    <n v="0.30345257903494177"/>
    <n v="3.495544893762851E-2"/>
    <n v="6.4034151547491991E-4"/>
    <n v="4.5092529129540777"/>
    <n v="129"/>
    <n v="121"/>
    <n v="-6.2015503875968991E-2"/>
    <n v="0.93798449612403101"/>
    <n v="-408"/>
    <x v="0"/>
    <s v="Loss-Making"/>
  </r>
  <r>
    <s v="2025-01-20"/>
    <x v="0"/>
    <s v="Campaign_80"/>
    <x v="78"/>
    <n v="42403"/>
    <n v="4787"/>
    <n v="780"/>
    <n v="246"/>
    <n v="44526"/>
    <s v="C080"/>
    <n v="0.1128929556870976"/>
    <n v="0.16294129935241278"/>
    <n v="0.31538461538461537"/>
    <n v="5.8014763106383985E-3"/>
    <n v="6.8576923076923073"/>
    <n v="21.743902439024389"/>
    <n v="181"/>
    <n v="7.3241727425687042"/>
    <n v="8.3241727425687042"/>
    <n v="39177"/>
    <x v="0"/>
    <s v="Profitable"/>
  </r>
  <r>
    <s v="2025-01-21"/>
    <x v="2"/>
    <s v="Campaign_81"/>
    <x v="79"/>
    <n v="73042"/>
    <n v="4752"/>
    <n v="1370"/>
    <n v="88"/>
    <n v="14432"/>
    <s v="C081"/>
    <n v="6.5058459516442596E-2"/>
    <n v="0.28829966329966328"/>
    <n v="6.4233576642335768E-2"/>
    <n v="1.2047862873415295E-3"/>
    <n v="4.8605839416058396"/>
    <n v="75.670454545454547"/>
    <n v="164"/>
    <n v="1.1672923862441809"/>
    <n v="2.1672923862441809"/>
    <n v="7773"/>
    <x v="0"/>
    <s v="Profitable"/>
  </r>
  <r>
    <s v="2025-01-22"/>
    <x v="1"/>
    <s v="Campaign_82"/>
    <x v="80"/>
    <n v="36350"/>
    <n v="2463"/>
    <n v="343"/>
    <n v="29"/>
    <n v="4843"/>
    <s v="C082"/>
    <n v="6.775790921595598E-2"/>
    <n v="0.13926106374340236"/>
    <n v="8.4548104956268216E-2"/>
    <n v="7.9779917469050899E-4"/>
    <n v="32.731778425655975"/>
    <n v="387.13793103448273"/>
    <n v="167"/>
    <n v="-0.56862919747038387"/>
    <n v="0.43137080252961613"/>
    <n v="-6384"/>
    <x v="0"/>
    <s v="Loss-Making"/>
  </r>
  <r>
    <s v="2025-01-23"/>
    <x v="0"/>
    <s v="Campaign_83"/>
    <x v="81"/>
    <n v="67953"/>
    <n v="3895"/>
    <n v="788"/>
    <n v="183"/>
    <n v="37515"/>
    <s v="C083"/>
    <n v="5.7319029329095113E-2"/>
    <n v="0.20231065468549422"/>
    <n v="0.23223350253807107"/>
    <n v="2.6930378349741733E-3"/>
    <n v="6.0507614213197973"/>
    <n v="26.05464480874317"/>
    <n v="205"/>
    <n v="6.8680788590604029"/>
    <n v="7.8680788590604029"/>
    <n v="32747"/>
    <x v="0"/>
    <s v="Profitable"/>
  </r>
  <r>
    <s v="2025-01-24"/>
    <x v="1"/>
    <s v="Campaign_84"/>
    <x v="82"/>
    <n v="29825"/>
    <n v="1680"/>
    <n v="456"/>
    <n v="57"/>
    <n v="12312"/>
    <s v="C084"/>
    <n v="5.6328583403185251E-2"/>
    <n v="0.27142857142857141"/>
    <n v="0.125"/>
    <n v="1.9111483654652137E-3"/>
    <n v="22.495614035087719"/>
    <n v="179.96491228070175"/>
    <n v="216"/>
    <n v="0.20023396373562097"/>
    <n v="1.200233963735621"/>
    <n v="2054"/>
    <x v="0"/>
    <s v="Profitable"/>
  </r>
  <r>
    <s v="2025-01-25"/>
    <x v="0"/>
    <s v="Campaign_85"/>
    <x v="83"/>
    <n v="61108"/>
    <n v="4091"/>
    <n v="949"/>
    <n v="267"/>
    <n v="48327"/>
    <s v="C085"/>
    <n v="6.6947044576814815E-2"/>
    <n v="0.23197262283060377"/>
    <n v="0.28134878819810327"/>
    <n v="4.3693133468612946E-3"/>
    <n v="6.5289778714436251"/>
    <n v="23.205992509363295"/>
    <n v="181"/>
    <n v="6.7997094899935444"/>
    <n v="7.7997094899935444"/>
    <n v="42131"/>
    <x v="0"/>
    <s v="Profitable"/>
  </r>
  <r>
    <s v="2025-01-26"/>
    <x v="1"/>
    <s v="Campaign_86"/>
    <x v="84"/>
    <n v="36846"/>
    <n v="1779"/>
    <n v="432"/>
    <n v="49"/>
    <n v="9947"/>
    <s v="C086"/>
    <n v="4.8282038755902951E-2"/>
    <n v="0.24283305227655985"/>
    <n v="0.11342592592592593"/>
    <n v="1.3298594148618574E-3"/>
    <n v="28.9375"/>
    <n v="255.12244897959184"/>
    <n v="203"/>
    <n v="-0.20430365570754339"/>
    <n v="0.79569634429245661"/>
    <n v="-2554"/>
    <x v="0"/>
    <s v="Loss-Making"/>
  </r>
  <r>
    <s v="2025-01-27"/>
    <x v="1"/>
    <s v="Campaign_87"/>
    <x v="85"/>
    <n v="26332"/>
    <n v="1921"/>
    <n v="252"/>
    <n v="44"/>
    <n v="9064"/>
    <s v="C087"/>
    <n v="7.2953060914476689E-2"/>
    <n v="0.13118167621030713"/>
    <n v="0.17460317460317459"/>
    <n v="1.6709706820598512E-3"/>
    <n v="45.123015873015873"/>
    <n v="258.43181818181819"/>
    <n v="206"/>
    <n v="-0.20288453082402602"/>
    <n v="0.79711546917597398"/>
    <n v="-2307"/>
    <x v="0"/>
    <s v="Loss-Making"/>
  </r>
  <r>
    <s v="2025-01-28"/>
    <x v="2"/>
    <s v="Campaign_88"/>
    <x v="86"/>
    <n v="79276"/>
    <n v="5595"/>
    <n v="1496"/>
    <n v="62"/>
    <n v="10354"/>
    <s v="C088"/>
    <n v="7.0576214743428026E-2"/>
    <n v="0.26738159070598749"/>
    <n v="4.1443850267379678E-2"/>
    <n v="7.8207780412735254E-4"/>
    <n v="5.2286096256684491"/>
    <n v="126.16129032258064"/>
    <n v="167"/>
    <n v="0.32370237790846329"/>
    <n v="1.3237023779084633"/>
    <n v="2532"/>
    <x v="0"/>
    <s v="Profitable"/>
  </r>
  <r>
    <s v="2025-01-29"/>
    <x v="0"/>
    <s v="Campaign_89"/>
    <x v="87"/>
    <n v="60148"/>
    <n v="3078"/>
    <n v="710"/>
    <n v="253"/>
    <n v="51106"/>
    <s v="C089"/>
    <n v="5.1173771363968876E-2"/>
    <n v="0.23066926575698504"/>
    <n v="0.35633802816901411"/>
    <n v="4.2062911485003657E-3"/>
    <n v="9.422535211267606"/>
    <n v="26.442687747035574"/>
    <n v="202"/>
    <n v="6.639162929745889"/>
    <n v="7.639162929745889"/>
    <n v="44416"/>
    <x v="0"/>
    <s v="Profitable"/>
  </r>
  <r>
    <s v="2025-01-30"/>
    <x v="2"/>
    <s v="Campaign_90"/>
    <x v="88"/>
    <n v="82422"/>
    <n v="4220"/>
    <n v="1221"/>
    <n v="65"/>
    <n v="11375"/>
    <s v="C090"/>
    <n v="5.119992235082866E-2"/>
    <n v="0.28933649289099528"/>
    <n v="5.3235053235053238E-2"/>
    <n v="7.8862439639901965E-4"/>
    <n v="6.2964782964782966"/>
    <n v="118.27692307692308"/>
    <n v="175"/>
    <n v="0.47957856399583765"/>
    <n v="1.4795785639958376"/>
    <n v="3687"/>
    <x v="0"/>
    <s v="Profitable"/>
  </r>
  <r>
    <s v="2025-01-31"/>
    <x v="1"/>
    <s v="Campaign_91"/>
    <x v="89"/>
    <n v="27589"/>
    <n v="2930"/>
    <n v="275"/>
    <n v="54"/>
    <n v="10206"/>
    <s v="C091"/>
    <n v="0.10620174707310885"/>
    <n v="9.3856655290102384E-2"/>
    <n v="0.19636363636363635"/>
    <n v="1.957301823190402E-3"/>
    <n v="40.803636363636365"/>
    <n v="207.7962962962963"/>
    <n v="189"/>
    <n v="-9.0455396132252022E-2"/>
    <n v="0.90954460386774794"/>
    <n v="-1015"/>
    <x v="0"/>
    <s v="Loss-Making"/>
  </r>
  <r>
    <s v="2025-02-01"/>
    <x v="0"/>
    <s v="Campaign_92"/>
    <x v="90"/>
    <n v="69003"/>
    <n v="3369"/>
    <n v="943"/>
    <n v="194"/>
    <n v="41128"/>
    <s v="C092"/>
    <n v="4.8823964175470629E-2"/>
    <n v="0.27990501632531911"/>
    <n v="0.20572640509013787"/>
    <n v="2.8114719649870294E-3"/>
    <n v="4.8791092258748678"/>
    <n v="23.716494845360824"/>
    <n v="212"/>
    <n v="7.9389263203651383"/>
    <n v="8.9389263203651375"/>
    <n v="36527"/>
    <x v="1"/>
    <s v="Profitable"/>
  </r>
  <r>
    <s v="2025-02-02"/>
    <x v="2"/>
    <s v="Campaign_93"/>
    <x v="91"/>
    <n v="94314"/>
    <n v="4888"/>
    <n v="1244"/>
    <n v="80"/>
    <n v="14240"/>
    <s v="C093"/>
    <n v="5.1826876179570373E-2"/>
    <n v="0.25450081833060556"/>
    <n v="6.4308681672025719E-2"/>
    <n v="8.4823037937103714E-4"/>
    <n v="6.863344051446945"/>
    <n v="106.72499999999999"/>
    <n v="178"/>
    <n v="0.66783790114780983"/>
    <n v="1.6678379011478097"/>
    <n v="5702"/>
    <x v="1"/>
    <s v="Profitable"/>
  </r>
  <r>
    <s v="2025-02-03"/>
    <x v="1"/>
    <s v="Campaign_94"/>
    <x v="92"/>
    <n v="37456"/>
    <n v="2561"/>
    <n v="420"/>
    <n v="24"/>
    <n v="4728"/>
    <s v="C094"/>
    <n v="6.8373558308415211E-2"/>
    <n v="0.16399843811011325"/>
    <n v="5.7142857142857141E-2"/>
    <n v="6.4075181546347719E-4"/>
    <n v="24.1"/>
    <n v="421.75"/>
    <n v="197"/>
    <n v="-0.53289863663307646"/>
    <n v="0.46710136336692354"/>
    <n v="-5394"/>
    <x v="1"/>
    <s v="Loss-Making"/>
  </r>
  <r>
    <s v="2025-02-04"/>
    <x v="1"/>
    <s v="Campaign_95"/>
    <x v="93"/>
    <n v="34678"/>
    <n v="2493"/>
    <n v="263"/>
    <n v="43"/>
    <n v="6837"/>
    <s v="C095"/>
    <n v="7.1889959051848432E-2"/>
    <n v="0.10549538708383474"/>
    <n v="0.1634980988593156"/>
    <n v="1.2399792375569526E-3"/>
    <n v="49.148288973384034"/>
    <n v="300.60465116279067"/>
    <n v="159"/>
    <n v="-0.47106606838929288"/>
    <n v="0.52893393161070712"/>
    <n v="-6089"/>
    <x v="1"/>
    <s v="Loss-Making"/>
  </r>
  <r>
    <s v="2025-02-05"/>
    <x v="0"/>
    <s v="Campaign_96"/>
    <x v="94"/>
    <n v="62543"/>
    <n v="4325"/>
    <n v="944"/>
    <n v="235"/>
    <n v="45590"/>
    <s v="C096"/>
    <n v="6.9152423132884569E-2"/>
    <n v="0.21826589595375723"/>
    <n v="0.2489406779661017"/>
    <n v="3.7574148985497977E-3"/>
    <n v="7.3294491525423728"/>
    <n v="29.442553191489363"/>
    <n v="194"/>
    <n v="5.5891024714554129"/>
    <n v="6.5891024714554129"/>
    <n v="38671"/>
    <x v="1"/>
    <s v="Profitable"/>
  </r>
  <r>
    <s v="2025-02-06"/>
    <x v="1"/>
    <s v="Campaign_97"/>
    <x v="95"/>
    <n v="27278"/>
    <n v="2128"/>
    <n v="355"/>
    <n v="53"/>
    <n v="10812"/>
    <s v="C097"/>
    <n v="7.8011584427010783E-2"/>
    <n v="0.16682330827067668"/>
    <n v="0.14929577464788732"/>
    <n v="1.9429576948456631E-3"/>
    <n v="38.394366197183096"/>
    <n v="257.16981132075472"/>
    <n v="204"/>
    <n v="-0.20674981658107117"/>
    <n v="0.79325018341892883"/>
    <n v="-2818"/>
    <x v="1"/>
    <s v="Loss-Making"/>
  </r>
  <r>
    <s v="2025-02-07"/>
    <x v="0"/>
    <s v="Campaign_98"/>
    <x v="96"/>
    <n v="68801"/>
    <n v="4743"/>
    <n v="1000"/>
    <n v="209"/>
    <n v="51205"/>
    <s v="C098"/>
    <n v="6.8937951483263329E-2"/>
    <n v="0.21083702298123549"/>
    <n v="0.20899999999999999"/>
    <n v="3.0377465443816223E-3"/>
    <n v="4.1790000000000003"/>
    <n v="19.995215311004785"/>
    <n v="245"/>
    <n v="11.252931323283082"/>
    <n v="12.252931323283082"/>
    <n v="47026"/>
    <x v="1"/>
    <s v="Profitable"/>
  </r>
  <r>
    <s v="2025-02-08"/>
    <x v="0"/>
    <s v="Campaign_99"/>
    <x v="97"/>
    <n v="56176"/>
    <n v="4523"/>
    <n v="909"/>
    <n v="202"/>
    <n v="46056"/>
    <s v="C099"/>
    <n v="8.0514810595272004E-2"/>
    <n v="0.2009728056599602"/>
    <n v="0.22222222222222221"/>
    <n v="3.5958416405582456E-3"/>
    <n v="7.1925192519251926"/>
    <n v="32.366336633663366"/>
    <n v="228"/>
    <n v="6.0443560721933309"/>
    <n v="7.0443560721933309"/>
    <n v="39518"/>
    <x v="1"/>
    <s v="Profitable"/>
  </r>
  <r>
    <s v="2025-02-09"/>
    <x v="0"/>
    <s v="Campaign_100"/>
    <x v="98"/>
    <n v="63878"/>
    <n v="4722"/>
    <n v="834"/>
    <n v="218"/>
    <n v="40548"/>
    <s v="C100"/>
    <n v="7.3922164125363982E-2"/>
    <n v="0.17662007623888182"/>
    <n v="0.26139088729016785"/>
    <n v="3.4127555652963461E-3"/>
    <n v="8.2254196642685855"/>
    <n v="31.467889908256879"/>
    <n v="186"/>
    <n v="4.9107871720116618"/>
    <n v="5.9107871720116618"/>
    <n v="33688"/>
    <x v="1"/>
    <s v="Profitable"/>
  </r>
  <r>
    <s v="2025-02-10"/>
    <x v="2"/>
    <s v="Campaign_101"/>
    <x v="99"/>
    <n v="94364"/>
    <n v="5966"/>
    <n v="1115"/>
    <n v="94"/>
    <n v="16638"/>
    <s v="C101"/>
    <n v="6.3223263108812683E-2"/>
    <n v="0.18689239021119677"/>
    <n v="8.4304932735426011E-2"/>
    <n v="9.96142596752999E-4"/>
    <n v="7.3399103139013455"/>
    <n v="87.063829787234042"/>
    <n v="177"/>
    <n v="1.032991202346041"/>
    <n v="2.0329912023460412"/>
    <n v="8454"/>
    <x v="1"/>
    <s v="Profitable"/>
  </r>
  <r>
    <s v="2025-02-11"/>
    <x v="2"/>
    <s v="Campaign_102"/>
    <x v="100"/>
    <n v="84430"/>
    <n v="5003"/>
    <n v="1207"/>
    <n v="58"/>
    <n v="7018"/>
    <s v="C102"/>
    <n v="5.9256188558569227E-2"/>
    <n v="0.24125524685188887"/>
    <n v="4.8053024026512015E-2"/>
    <n v="6.869596115124956E-4"/>
    <n v="7.1789560894780449"/>
    <n v="149.39655172413794"/>
    <n v="121"/>
    <n v="-0.19007501442585112"/>
    <n v="0.80992498557414883"/>
    <n v="-1647"/>
    <x v="1"/>
    <s v="Loss-Making"/>
  </r>
  <r>
    <s v="2025-02-12"/>
    <x v="0"/>
    <s v="Campaign_103"/>
    <x v="22"/>
    <n v="40885"/>
    <n v="4063"/>
    <n v="921"/>
    <n v="257"/>
    <n v="49601"/>
    <s v="C103"/>
    <n v="9.9376299376299382E-2"/>
    <n v="0.22667979325621462"/>
    <n v="0.27904451682953313"/>
    <n v="6.2859239329827567E-3"/>
    <n v="6.7231270358306192"/>
    <n v="24.093385214007782"/>
    <n v="193"/>
    <n v="7.0104974160206721"/>
    <n v="8.0104974160206712"/>
    <n v="43409"/>
    <x v="1"/>
    <s v="Profitable"/>
  </r>
  <r>
    <s v="2025-02-13"/>
    <x v="2"/>
    <s v="Campaign_104"/>
    <x v="101"/>
    <n v="72274"/>
    <n v="4022"/>
    <n v="1159"/>
    <n v="89"/>
    <n v="15130"/>
    <s v="C104"/>
    <n v="5.5649334477128706E-2"/>
    <n v="0.28816509199403284"/>
    <n v="7.6790336496980152E-2"/>
    <n v="1.2314248554113512E-3"/>
    <n v="6.8101811906816225"/>
    <n v="88.68539325842697"/>
    <n v="170"/>
    <n v="0.91688838211073098"/>
    <n v="1.916888382110731"/>
    <n v="7237"/>
    <x v="1"/>
    <s v="Profitable"/>
  </r>
  <r>
    <s v="2025-02-14"/>
    <x v="1"/>
    <s v="Campaign_105"/>
    <x v="102"/>
    <n v="25812"/>
    <n v="1806"/>
    <n v="210"/>
    <n v="54"/>
    <n v="11070"/>
    <s v="C105"/>
    <n v="6.9967456996745697E-2"/>
    <n v="0.11627906976744186"/>
    <n v="0.25714285714285712"/>
    <n v="2.0920502092050207E-3"/>
    <n v="52.085714285714289"/>
    <n v="202.55555555555554"/>
    <n v="205"/>
    <n v="1.2068019747668678E-2"/>
    <n v="1.0120680197476686"/>
    <n v="132"/>
    <x v="1"/>
    <s v="Profitable"/>
  </r>
  <r>
    <s v="2025-02-15"/>
    <x v="1"/>
    <s v="Campaign_106"/>
    <x v="103"/>
    <n v="34895"/>
    <n v="2863"/>
    <n v="252"/>
    <n v="29"/>
    <n v="6148"/>
    <s v="C106"/>
    <n v="8.2046138415245731E-2"/>
    <n v="8.8019559902200492E-2"/>
    <n v="0.11507936507936507"/>
    <n v="8.3106462243874482E-4"/>
    <n v="47.519841269841272"/>
    <n v="412.93103448275861"/>
    <n v="212"/>
    <n v="-0.48659707724425888"/>
    <n v="0.51340292275574118"/>
    <n v="-5827"/>
    <x v="1"/>
    <s v="Loss-Making"/>
  </r>
  <r>
    <s v="2025-02-16"/>
    <x v="1"/>
    <s v="Campaign_107"/>
    <x v="104"/>
    <n v="28006"/>
    <n v="1663"/>
    <n v="303"/>
    <n v="24"/>
    <n v="4392"/>
    <s v="C107"/>
    <n v="5.9380132828679572E-2"/>
    <n v="0.18220084185207455"/>
    <n v="7.9207920792079209E-2"/>
    <n v="8.5695922302363777E-4"/>
    <n v="44.240924092409244"/>
    <n v="558.54166666666663"/>
    <n v="183"/>
    <n v="-0.67236105930622903"/>
    <n v="0.32763894069377097"/>
    <n v="-9013"/>
    <x v="1"/>
    <s v="Loss-Making"/>
  </r>
  <r>
    <s v="2025-02-17"/>
    <x v="2"/>
    <s v="Campaign_108"/>
    <x v="105"/>
    <n v="76528"/>
    <n v="5541"/>
    <n v="1395"/>
    <n v="79"/>
    <n v="11455"/>
    <s v="C108"/>
    <n v="7.2404871419611119E-2"/>
    <n v="0.2517596101786681"/>
    <n v="5.6630824372759854E-2"/>
    <n v="1.0323019025716077E-3"/>
    <n v="5.4129032258064518"/>
    <n v="95.582278481012665"/>
    <n v="145"/>
    <n v="0.51701761356111775"/>
    <n v="1.5170176135611178"/>
    <n v="3904"/>
    <x v="1"/>
    <s v="Profitable"/>
  </r>
  <r>
    <s v="2025-02-18"/>
    <x v="0"/>
    <s v="Campaign_109"/>
    <x v="106"/>
    <n v="60189"/>
    <n v="4442"/>
    <n v="823"/>
    <n v="180"/>
    <n v="37440"/>
    <s v="C109"/>
    <n v="7.3800860622372857E-2"/>
    <n v="0.18527690229626295"/>
    <n v="0.2187120291616039"/>
    <n v="2.9905796740268154E-3"/>
    <n v="6.8250303766707168"/>
    <n v="31.205555555555556"/>
    <n v="208"/>
    <n v="5.6654797934840664"/>
    <n v="6.6654797934840664"/>
    <n v="31823"/>
    <x v="1"/>
    <s v="Profitable"/>
  </r>
  <r>
    <s v="2025-02-19"/>
    <x v="0"/>
    <s v="Campaign_110"/>
    <x v="107"/>
    <n v="54116"/>
    <n v="3290"/>
    <n v="963"/>
    <n v="280"/>
    <n v="64680"/>
    <s v="C110"/>
    <n v="6.0795328553477718E-2"/>
    <n v="0.29270516717325229"/>
    <n v="0.29075804776739356"/>
    <n v="5.1740705151895926E-3"/>
    <n v="7.02803738317757"/>
    <n v="24.171428571428571"/>
    <n v="231"/>
    <n v="8.5567375886524815"/>
    <n v="9.5567375886524815"/>
    <n v="57912"/>
    <x v="1"/>
    <s v="Profitable"/>
  </r>
  <r>
    <s v="2025-02-20"/>
    <x v="0"/>
    <s v="Campaign_111"/>
    <x v="108"/>
    <n v="41099"/>
    <n v="4866"/>
    <n v="727"/>
    <n v="247"/>
    <n v="60762"/>
    <s v="C111"/>
    <n v="0.11839704129054235"/>
    <n v="0.14940402794903412"/>
    <n v="0.33975240715268223"/>
    <n v="6.00987858585367E-3"/>
    <n v="9.2035763411279223"/>
    <n v="27.089068825910932"/>
    <n v="246"/>
    <n v="8.0811537886713491"/>
    <n v="9.0811537886713491"/>
    <n v="54071"/>
    <x v="1"/>
    <s v="Profitable"/>
  </r>
  <r>
    <s v="2025-02-21"/>
    <x v="2"/>
    <s v="Campaign_112"/>
    <x v="109"/>
    <n v="91018"/>
    <n v="4509"/>
    <n v="1365"/>
    <n v="53"/>
    <n v="7738"/>
    <s v="C112"/>
    <n v="4.9539651497505985E-2"/>
    <n v="0.30272787757817698"/>
    <n v="3.8827838827838829E-2"/>
    <n v="5.8230240172273617E-4"/>
    <n v="6.0703296703296701"/>
    <n v="156.33962264150944"/>
    <n v="146"/>
    <n v="-6.613565049481053E-2"/>
    <n v="0.93386434950518948"/>
    <n v="-548"/>
    <x v="1"/>
    <s v="Loss-Making"/>
  </r>
  <r>
    <s v="2025-02-22"/>
    <x v="0"/>
    <s v="Campaign_113"/>
    <x v="110"/>
    <n v="49392"/>
    <n v="4975"/>
    <n v="979"/>
    <n v="252"/>
    <n v="58716"/>
    <s v="C113"/>
    <n v="0.10072481373501782"/>
    <n v="0.19678391959798994"/>
    <n v="0.25740551583248211"/>
    <n v="5.1020408163265302E-3"/>
    <n v="5.3993871297242082"/>
    <n v="20.976190476190474"/>
    <n v="233"/>
    <n v="10.107832009080591"/>
    <n v="11.107832009080591"/>
    <n v="53430"/>
    <x v="1"/>
    <s v="Profitable"/>
  </r>
  <r>
    <s v="2025-02-23"/>
    <x v="2"/>
    <s v="Campaign_114"/>
    <x v="111"/>
    <n v="75963"/>
    <n v="4657"/>
    <n v="1387"/>
    <n v="57"/>
    <n v="9918"/>
    <s v="C114"/>
    <n v="6.1306162210549874E-2"/>
    <n v="0.29783122181662014"/>
    <n v="4.1095890410958902E-2"/>
    <n v="7.5036530942695781E-4"/>
    <n v="6.0346070656092285"/>
    <n v="146.84210526315789"/>
    <n v="174"/>
    <n v="0.18494623655913978"/>
    <n v="1.1849462365591399"/>
    <n v="1548"/>
    <x v="1"/>
    <s v="Profitable"/>
  </r>
  <r>
    <s v="2025-02-24"/>
    <x v="0"/>
    <s v="Campaign_115"/>
    <x v="112"/>
    <n v="51039"/>
    <n v="3719"/>
    <n v="791"/>
    <n v="297"/>
    <n v="55836"/>
    <s v="C115"/>
    <n v="7.2865847685103555E-2"/>
    <n v="0.21269158375907501"/>
    <n v="0.37547408343868521"/>
    <n v="5.8190795274202078E-3"/>
    <n v="6.9683944374209865"/>
    <n v="18.558922558922561"/>
    <n v="188"/>
    <n v="9.1298984034833097"/>
    <n v="10.12989840348331"/>
    <n v="50324"/>
    <x v="1"/>
    <s v="Profitable"/>
  </r>
  <r>
    <s v="2025-02-25"/>
    <x v="1"/>
    <s v="Campaign_116"/>
    <x v="113"/>
    <n v="29247"/>
    <n v="1721"/>
    <n v="418"/>
    <n v="35"/>
    <n v="5390"/>
    <s v="C116"/>
    <n v="5.8843642082948677E-2"/>
    <n v="0.24288204532248692"/>
    <n v="8.3732057416267949E-2"/>
    <n v="1.1967039354463707E-3"/>
    <n v="21.839712918660286"/>
    <n v="260.82857142857142"/>
    <n v="154"/>
    <n v="-0.40957388542008982"/>
    <n v="0.59042611457991012"/>
    <n v="-3739"/>
    <x v="1"/>
    <s v="Loss-Making"/>
  </r>
  <r>
    <s v="2025-02-26"/>
    <x v="2"/>
    <s v="Campaign_117"/>
    <x v="114"/>
    <n v="70581"/>
    <n v="5337"/>
    <n v="1065"/>
    <n v="46"/>
    <n v="5842"/>
    <s v="C117"/>
    <n v="7.5615250563182732E-2"/>
    <n v="0.19955030916245081"/>
    <n v="4.3192488262910798E-2"/>
    <n v="6.5173346934727474E-4"/>
    <n v="6.929577464788732"/>
    <n v="160.43478260869566"/>
    <n v="127"/>
    <n v="-0.20840108401084012"/>
    <n v="0.79159891598915988"/>
    <n v="-1538"/>
    <x v="1"/>
    <s v="Loss-Making"/>
  </r>
  <r>
    <s v="2025-02-27"/>
    <x v="0"/>
    <s v="Campaign_118"/>
    <x v="115"/>
    <n v="65608"/>
    <n v="3267"/>
    <n v="898"/>
    <n v="245"/>
    <n v="48510"/>
    <s v="C118"/>
    <n v="4.9795756615046947E-2"/>
    <n v="0.27486991123354759"/>
    <n v="0.27282850779510021"/>
    <n v="3.7343006950371904E-3"/>
    <n v="5.4888641425389757"/>
    <n v="20.118367346938776"/>
    <n v="198"/>
    <n v="8.8417528910529519"/>
    <n v="9.8417528910529519"/>
    <n v="43581"/>
    <x v="1"/>
    <s v="Profitable"/>
  </r>
  <r>
    <s v="2025-02-28"/>
    <x v="2"/>
    <s v="Campaign_119"/>
    <x v="116"/>
    <n v="81420"/>
    <n v="5258"/>
    <n v="1142"/>
    <n v="80"/>
    <n v="13520"/>
    <s v="C119"/>
    <n v="6.457872758535986E-2"/>
    <n v="0.21719284899201216"/>
    <n v="7.0052539404553416E-2"/>
    <n v="9.8255956767379017E-4"/>
    <n v="7.6260945709281964"/>
    <n v="108.8625"/>
    <n v="169"/>
    <n v="0.55241703984383972"/>
    <n v="1.5524170398438397"/>
    <n v="4811"/>
    <x v="1"/>
    <s v="Profitable"/>
  </r>
  <r>
    <s v="2025-03-01"/>
    <x v="1"/>
    <s v="Campaign_120"/>
    <x v="117"/>
    <n v="38783"/>
    <n v="2845"/>
    <n v="384"/>
    <n v="39"/>
    <n v="7527"/>
    <s v="C120"/>
    <n v="7.3356883170461282E-2"/>
    <n v="0.13497363796133569"/>
    <n v="0.1015625"/>
    <n v="1.0055952350256556E-3"/>
    <n v="36.359375"/>
    <n v="358"/>
    <n v="193"/>
    <n v="-0.46089385474860334"/>
    <n v="0.53910614525139666"/>
    <n v="-6435"/>
    <x v="2"/>
    <s v="Loss-Making"/>
  </r>
  <r>
    <s v="2025-01-01"/>
    <x v="0"/>
    <s v="Campaign_121"/>
    <x v="118"/>
    <n v="63702"/>
    <n v="3367"/>
    <n v="995"/>
    <n v="225"/>
    <n v="46800"/>
    <s v="C121"/>
    <n v="5.2855483344321996E-2"/>
    <n v="0.29551529551529554"/>
    <n v="0.22613065326633167"/>
    <n v="3.5320712065555243E-3"/>
    <n v="5.0211055276381913"/>
    <n v="22.204444444444444"/>
    <n v="208"/>
    <n v="8.3674939951961562"/>
    <n v="9.3674939951961562"/>
    <n v="41804"/>
    <x v="0"/>
    <s v="Profitable"/>
  </r>
  <r>
    <s v="2025-01-02"/>
    <x v="1"/>
    <s v="Campaign_122"/>
    <x v="119"/>
    <n v="36018"/>
    <n v="1661"/>
    <n v="260"/>
    <n v="25"/>
    <n v="4275"/>
    <s v="C122"/>
    <n v="4.6115830973402189E-2"/>
    <n v="0.15653220951234195"/>
    <n v="9.6153846153846159E-2"/>
    <n v="6.9409739574657111E-4"/>
    <n v="49.8"/>
    <n v="517.91999999999996"/>
    <n v="171"/>
    <n v="-0.66983317886932348"/>
    <n v="0.33016682113067658"/>
    <n v="-8673"/>
    <x v="0"/>
    <s v="Loss-Making"/>
  </r>
  <r>
    <s v="2025-01-03"/>
    <x v="2"/>
    <s v="Campaign_123"/>
    <x v="120"/>
    <n v="73777"/>
    <n v="5566"/>
    <n v="1123"/>
    <n v="65"/>
    <n v="8190"/>
    <s v="C123"/>
    <n v="7.5443566423139999E-2"/>
    <n v="0.2017606899029824"/>
    <n v="5.7880676758682102E-2"/>
    <n v="8.8103338438808845E-4"/>
    <n v="6.7061442564559215"/>
    <n v="115.86153846153846"/>
    <n v="126"/>
    <n v="8.7504979418403933E-2"/>
    <n v="1.087504979418404"/>
    <n v="659"/>
    <x v="0"/>
    <s v="Profitable"/>
  </r>
  <r>
    <s v="2025-01-04"/>
    <x v="0"/>
    <s v="Campaign_124"/>
    <x v="121"/>
    <n v="69336"/>
    <n v="4309"/>
    <n v="819"/>
    <n v="268"/>
    <n v="57888"/>
    <s v="C124"/>
    <n v="6.2146648205838234E-2"/>
    <n v="0.19006730099791136"/>
    <n v="0.32722832722832723"/>
    <n v="3.8652359524633667E-3"/>
    <n v="6.2918192918192917"/>
    <n v="19.227611940298509"/>
    <n v="216"/>
    <n v="10.233844362507277"/>
    <n v="11.233844362507277"/>
    <n v="52735"/>
    <x v="0"/>
    <s v="Profitable"/>
  </r>
  <r>
    <s v="2025-01-05"/>
    <x v="0"/>
    <s v="Campaign_125"/>
    <x v="122"/>
    <n v="55387"/>
    <n v="3623"/>
    <n v="718"/>
    <n v="263"/>
    <n v="54967"/>
    <s v="C125"/>
    <n v="6.5412461407911598E-2"/>
    <n v="0.19817830527187413"/>
    <n v="0.36629526462395545"/>
    <n v="4.7484066658241104E-3"/>
    <n v="8.1337047353760443"/>
    <n v="22.20532319391635"/>
    <n v="209"/>
    <n v="8.4121575342465746"/>
    <n v="9.4121575342465746"/>
    <n v="49127"/>
    <x v="0"/>
    <s v="Profitable"/>
  </r>
  <r>
    <s v="2025-01-06"/>
    <x v="2"/>
    <s v="Campaign_126"/>
    <x v="123"/>
    <n v="90327"/>
    <n v="4183"/>
    <n v="1097"/>
    <n v="96"/>
    <n v="12000"/>
    <s v="C126"/>
    <n v="4.6309519855635632E-2"/>
    <n v="0.26225197226870667"/>
    <n v="8.7511394712853241E-2"/>
    <n v="1.0628051413198712E-3"/>
    <n v="6.73746581586144"/>
    <n v="76.989583333333329"/>
    <n v="125"/>
    <n v="0.62359626572858884"/>
    <n v="1.6235962657285887"/>
    <n v="4609"/>
    <x v="0"/>
    <s v="Profitable"/>
  </r>
  <r>
    <s v="2025-01-07"/>
    <x v="1"/>
    <s v="Campaign_127"/>
    <x v="124"/>
    <n v="36162"/>
    <n v="1771"/>
    <n v="407"/>
    <n v="33"/>
    <n v="6600"/>
    <s v="C127"/>
    <n v="4.8974061169183118E-2"/>
    <n v="0.22981366459627328"/>
    <n v="8.1081081081081086E-2"/>
    <n v="9.1256014600962331E-4"/>
    <n v="33.997542997543"/>
    <n v="419.30303030303031"/>
    <n v="200"/>
    <n v="-0.52301799523018"/>
    <n v="0.47698200476982006"/>
    <n v="-7237"/>
    <x v="0"/>
    <s v="Loss-Making"/>
  </r>
  <r>
    <s v="2025-01-08"/>
    <x v="0"/>
    <s v="Campaign_128"/>
    <x v="125"/>
    <n v="45864"/>
    <n v="3793"/>
    <n v="757"/>
    <n v="222"/>
    <n v="54612"/>
    <s v="C128"/>
    <n v="8.2701029129600562E-2"/>
    <n v="0.19957817031373584"/>
    <n v="0.29326287978863935"/>
    <n v="4.8403976975405546E-3"/>
    <n v="7.7252311756935272"/>
    <n v="26.342342342342342"/>
    <n v="246"/>
    <n v="8.3385772913816698"/>
    <n v="9.3385772913816698"/>
    <n v="48764"/>
    <x v="0"/>
    <s v="Profitable"/>
  </r>
  <r>
    <s v="2025-01-09"/>
    <x v="1"/>
    <s v="Campaign_129"/>
    <x v="126"/>
    <n v="35834"/>
    <n v="2109"/>
    <n v="440"/>
    <n v="41"/>
    <n v="6888"/>
    <s v="C129"/>
    <n v="5.8854718981972427E-2"/>
    <n v="0.20862968231389284"/>
    <n v="9.3181818181818185E-2"/>
    <n v="1.1441647597254005E-3"/>
    <n v="24.731818181818181"/>
    <n v="265.41463414634148"/>
    <n v="168"/>
    <n v="-0.36702811983091344"/>
    <n v="0.63297188016908656"/>
    <n v="-3994"/>
    <x v="0"/>
    <s v="Loss-Making"/>
  </r>
  <r>
    <s v="2025-01-10"/>
    <x v="1"/>
    <s v="Campaign_130"/>
    <x v="51"/>
    <n v="32155"/>
    <n v="2345"/>
    <n v="443"/>
    <n v="44"/>
    <n v="8712"/>
    <s v="C130"/>
    <n v="7.2928004975897992E-2"/>
    <n v="0.18891257995735608"/>
    <n v="9.9322799097065456E-2"/>
    <n v="1.3683719483750583E-3"/>
    <n v="27.020316027088036"/>
    <n v="272.04545454545456"/>
    <n v="198"/>
    <n v="-0.27218045112781952"/>
    <n v="0.72781954887218048"/>
    <n v="-3258"/>
    <x v="0"/>
    <s v="Loss-Making"/>
  </r>
  <r>
    <s v="2025-01-11"/>
    <x v="1"/>
    <s v="Campaign_131"/>
    <x v="127"/>
    <n v="25863"/>
    <n v="1980"/>
    <n v="329"/>
    <n v="49"/>
    <n v="8330"/>
    <s v="C131"/>
    <n v="7.6557243939218186E-2"/>
    <n v="0.16616161616161615"/>
    <n v="0.14893617021276595"/>
    <n v="1.8945984611220663E-3"/>
    <n v="37.431610942249243"/>
    <n v="251.32653061224491"/>
    <n v="170"/>
    <n v="-0.32358911896061715"/>
    <n v="0.67641088103938285"/>
    <n v="-3985"/>
    <x v="0"/>
    <s v="Loss-Making"/>
  </r>
  <r>
    <s v="2025-01-12"/>
    <x v="1"/>
    <s v="Campaign_132"/>
    <x v="128"/>
    <n v="36545"/>
    <n v="2054"/>
    <n v="433"/>
    <n v="40"/>
    <n v="8600"/>
    <s v="C132"/>
    <n v="5.6204679162676151E-2"/>
    <n v="0.21080817916260955"/>
    <n v="9.237875288683603E-2"/>
    <n v="1.0945409768778219E-3"/>
    <n v="29.353348729792149"/>
    <n v="317.75"/>
    <n v="215"/>
    <n v="-0.32336742722265932"/>
    <n v="0.67663257277734068"/>
    <n v="-4110"/>
    <x v="0"/>
    <s v="Loss-Making"/>
  </r>
  <r>
    <s v="2025-01-13"/>
    <x v="0"/>
    <s v="Campaign_133"/>
    <x v="129"/>
    <n v="47525"/>
    <n v="4854"/>
    <n v="907"/>
    <n v="250"/>
    <n v="51500"/>
    <s v="C133"/>
    <n v="0.10213571804313519"/>
    <n v="0.18685620107128142"/>
    <n v="0.27563395810363839"/>
    <n v="5.2603892688058915E-3"/>
    <n v="7.6527012127894158"/>
    <n v="27.763999999999999"/>
    <n v="206"/>
    <n v="6.4196801613600343"/>
    <n v="7.4196801613600343"/>
    <n v="44559"/>
    <x v="0"/>
    <s v="Profitable"/>
  </r>
  <r>
    <s v="2025-01-14"/>
    <x v="2"/>
    <s v="Campaign_134"/>
    <x v="130"/>
    <n v="99694"/>
    <n v="5334"/>
    <n v="1009"/>
    <n v="56"/>
    <n v="9128"/>
    <s v="C134"/>
    <n v="5.3503721387445587E-2"/>
    <n v="0.18916385451818524"/>
    <n v="5.550049554013875E-2"/>
    <n v="5.6171885971071484E-4"/>
    <n v="8.0802775024777009"/>
    <n v="145.58928571428572"/>
    <n v="163"/>
    <n v="0.11958788176131485"/>
    <n v="1.119587881761315"/>
    <n v="975"/>
    <x v="0"/>
    <s v="Profitable"/>
  </r>
  <r>
    <s v="2025-01-15"/>
    <x v="1"/>
    <s v="Campaign_135"/>
    <x v="131"/>
    <n v="28936"/>
    <n v="2081"/>
    <n v="379"/>
    <n v="31"/>
    <n v="5797"/>
    <s v="C135"/>
    <n v="7.1917334807851813E-2"/>
    <n v="0.18212397885631909"/>
    <n v="8.1794195250659632E-2"/>
    <n v="1.0713298313519491E-3"/>
    <n v="32.21635883905013"/>
    <n v="393.87096774193549"/>
    <n v="187"/>
    <n v="-0.52522522522522519"/>
    <n v="0.47477477477477475"/>
    <n v="-6413"/>
    <x v="0"/>
    <s v="Loss-Making"/>
  </r>
  <r>
    <s v="2025-01-16"/>
    <x v="2"/>
    <s v="Campaign_136"/>
    <x v="132"/>
    <n v="79080"/>
    <n v="4159"/>
    <n v="1373"/>
    <n v="84"/>
    <n v="11004"/>
    <s v="C136"/>
    <n v="5.2592311583206881E-2"/>
    <n v="0.33012743447944215"/>
    <n v="6.117989803350328E-2"/>
    <n v="1.0622154779969652E-3"/>
    <n v="4.6941005098324835"/>
    <n v="76.726190476190482"/>
    <n v="131"/>
    <n v="0.70737005430566335"/>
    <n v="1.7073700543056634"/>
    <n v="4559"/>
    <x v="0"/>
    <s v="Profitable"/>
  </r>
  <r>
    <s v="2025-01-17"/>
    <x v="1"/>
    <s v="Campaign_137"/>
    <x v="133"/>
    <n v="39289"/>
    <n v="1909"/>
    <n v="478"/>
    <n v="31"/>
    <n v="5766"/>
    <s v="C137"/>
    <n v="4.8588663493598715E-2"/>
    <n v="0.25039287585123099"/>
    <n v="6.4853556485355651E-2"/>
    <n v="7.8902491791595607E-4"/>
    <n v="19.37866108786611"/>
    <n v="298.80645161290323"/>
    <n v="186"/>
    <n v="-0.37752348051387241"/>
    <n v="0.62247651948612759"/>
    <n v="-3497"/>
    <x v="0"/>
    <s v="Loss-Making"/>
  </r>
  <r>
    <s v="2025-01-18"/>
    <x v="2"/>
    <s v="Campaign_138"/>
    <x v="134"/>
    <n v="73524"/>
    <n v="4593"/>
    <n v="1391"/>
    <n v="48"/>
    <n v="7200"/>
    <s v="C138"/>
    <n v="6.2469397747674231E-2"/>
    <n v="0.30285216634008272"/>
    <n v="3.4507548526240113E-2"/>
    <n v="6.5284804961645182E-4"/>
    <n v="6.4241552839683678"/>
    <n v="186.16666666666666"/>
    <n v="150"/>
    <n v="-0.19427036705461057"/>
    <n v="0.80572963294538946"/>
    <n v="-1736"/>
    <x v="0"/>
    <s v="Loss-Making"/>
  </r>
  <r>
    <s v="2025-01-19"/>
    <x v="0"/>
    <s v="Campaign_139"/>
    <x v="135"/>
    <n v="65283"/>
    <n v="3752"/>
    <n v="706"/>
    <n v="288"/>
    <n v="63936"/>
    <s v="C139"/>
    <n v="5.7472848980592191E-2"/>
    <n v="0.18816631130063965"/>
    <n v="0.40793201133144474"/>
    <n v="4.4115619686595289E-3"/>
    <n v="6.1303116147308785"/>
    <n v="15.027777777777779"/>
    <n v="222"/>
    <n v="13.772643253234751"/>
    <n v="14.772643253234751"/>
    <n v="59608"/>
    <x v="0"/>
    <s v="Profitable"/>
  </r>
  <r>
    <s v="2025-01-20"/>
    <x v="0"/>
    <s v="Campaign_140"/>
    <x v="136"/>
    <n v="50669"/>
    <n v="4908"/>
    <n v="790"/>
    <n v="217"/>
    <n v="48608"/>
    <s v="C140"/>
    <n v="9.6863960212358644E-2"/>
    <n v="0.16096169519152403"/>
    <n v="0.27468354430379749"/>
    <n v="4.2826975073516349E-3"/>
    <n v="7.0721518987341776"/>
    <n v="25.746543778801843"/>
    <n v="224"/>
    <n v="7.7001968856273493"/>
    <n v="8.7001968856273493"/>
    <n v="43021"/>
    <x v="0"/>
    <s v="Profitable"/>
  </r>
  <r>
    <s v="2025-01-21"/>
    <x v="1"/>
    <s v="Campaign_141"/>
    <x v="137"/>
    <n v="38030"/>
    <n v="1873"/>
    <n v="332"/>
    <n v="42"/>
    <n v="6594"/>
    <s v="C141"/>
    <n v="4.9250591638180387E-2"/>
    <n v="0.17725573945541911"/>
    <n v="0.12650602409638553"/>
    <n v="1.1043912700499606E-3"/>
    <n v="38.506024096385545"/>
    <n v="304.38095238095241"/>
    <n v="157"/>
    <n v="-0.48419899874843553"/>
    <n v="0.51580100125156447"/>
    <n v="-6190"/>
    <x v="0"/>
    <s v="Loss-Making"/>
  </r>
  <r>
    <s v="2025-01-22"/>
    <x v="1"/>
    <s v="Campaign_142"/>
    <x v="138"/>
    <n v="26675"/>
    <n v="2972"/>
    <n v="447"/>
    <n v="35"/>
    <n v="5320"/>
    <s v="C142"/>
    <n v="0.11141518275538895"/>
    <n v="0.15040376850605652"/>
    <n v="7.829977628635347E-2"/>
    <n v="1.3120899718837863E-3"/>
    <n v="24.570469798657719"/>
    <n v="313.8"/>
    <n v="152"/>
    <n v="-0.5156150414276609"/>
    <n v="0.4843849585723391"/>
    <n v="-5663"/>
    <x v="0"/>
    <s v="Loss-Making"/>
  </r>
  <r>
    <s v="2025-01-23"/>
    <x v="0"/>
    <s v="Campaign_143"/>
    <x v="139"/>
    <n v="63473"/>
    <n v="4295"/>
    <n v="764"/>
    <n v="242"/>
    <n v="50820"/>
    <s v="C143"/>
    <n v="6.7666566886707732E-2"/>
    <n v="0.1778812572759022"/>
    <n v="0.31675392670157065"/>
    <n v="3.8126447465851622E-3"/>
    <n v="8.2761780104712042"/>
    <n v="26.128099173553718"/>
    <n v="210"/>
    <n v="7.0373240550371658"/>
    <n v="8.0373240550371658"/>
    <n v="44497"/>
    <x v="0"/>
    <s v="Profitable"/>
  </r>
  <r>
    <s v="2025-01-24"/>
    <x v="1"/>
    <s v="Campaign_144"/>
    <x v="140"/>
    <n v="34129"/>
    <n v="2242"/>
    <n v="318"/>
    <n v="25"/>
    <n v="3850"/>
    <s v="C144"/>
    <n v="6.5691933546250983E-2"/>
    <n v="0.14183764495985726"/>
    <n v="7.8616352201257858E-2"/>
    <n v="7.3251487005186202E-4"/>
    <n v="30.374213836477988"/>
    <n v="386.36"/>
    <n v="154"/>
    <n v="-0.60140801325188942"/>
    <n v="0.39859198674811058"/>
    <n v="-5809"/>
    <x v="0"/>
    <s v="Loss-Making"/>
  </r>
  <r>
    <s v="2025-01-25"/>
    <x v="0"/>
    <s v="Campaign_145"/>
    <x v="141"/>
    <n v="66260"/>
    <n v="3492"/>
    <n v="793"/>
    <n v="203"/>
    <n v="46487"/>
    <s v="C145"/>
    <n v="5.2701479022034411E-2"/>
    <n v="0.22709049255441008"/>
    <n v="0.25598991172761665"/>
    <n v="3.0636884998490794E-3"/>
    <n v="7.7477931904161412"/>
    <n v="30.266009852216747"/>
    <n v="229"/>
    <n v="6.566243489583333"/>
    <n v="7.566243489583333"/>
    <n v="40343"/>
    <x v="0"/>
    <s v="Profitable"/>
  </r>
  <r>
    <s v="2025-01-26"/>
    <x v="1"/>
    <s v="Campaign_146"/>
    <x v="142"/>
    <n v="31038"/>
    <n v="1762"/>
    <n v="327"/>
    <n v="36"/>
    <n v="5724"/>
    <s v="C146"/>
    <n v="5.6769121721760421E-2"/>
    <n v="0.18558456299659479"/>
    <n v="0.11009174311926606"/>
    <n v="1.1598685482312006E-3"/>
    <n v="39.290519877675841"/>
    <n v="356.88888888888891"/>
    <n v="159"/>
    <n v="-0.55448318804483188"/>
    <n v="0.44551681195516812"/>
    <n v="-7124"/>
    <x v="0"/>
    <s v="Loss-Making"/>
  </r>
  <r>
    <s v="2025-01-27"/>
    <x v="1"/>
    <s v="Campaign_147"/>
    <x v="143"/>
    <n v="38322"/>
    <n v="2320"/>
    <n v="231"/>
    <n v="28"/>
    <n v="5712"/>
    <s v="C147"/>
    <n v="6.0539637805960021E-2"/>
    <n v="9.9568965517241384E-2"/>
    <n v="0.12121212121212122"/>
    <n v="7.3065080110641407E-4"/>
    <n v="45.515151515151516"/>
    <n v="375.5"/>
    <n v="204"/>
    <n v="-0.45672436750998668"/>
    <n v="0.54327563249001332"/>
    <n v="-4802"/>
    <x v="0"/>
    <s v="Loss-Making"/>
  </r>
  <r>
    <s v="2025-01-28"/>
    <x v="0"/>
    <s v="Campaign_148"/>
    <x v="144"/>
    <n v="44640"/>
    <n v="4957"/>
    <n v="848"/>
    <n v="265"/>
    <n v="57770"/>
    <s v="C148"/>
    <n v="0.11104390681003584"/>
    <n v="0.17107121242687109"/>
    <n v="0.3125"/>
    <n v="5.9363799283154118E-3"/>
    <n v="7.5058962264150946"/>
    <n v="24.018867924528301"/>
    <n v="218"/>
    <n v="8.0761979575805185"/>
    <n v="9.0761979575805185"/>
    <n v="51405"/>
    <x v="0"/>
    <s v="Profitable"/>
  </r>
  <r>
    <s v="2025-01-29"/>
    <x v="2"/>
    <s v="Campaign_149"/>
    <x v="145"/>
    <n v="87192"/>
    <n v="4415"/>
    <n v="1440"/>
    <n v="42"/>
    <n v="5460"/>
    <s v="C149"/>
    <n v="5.0635379392604825E-2"/>
    <n v="0.32616081540203851"/>
    <n v="2.9166666666666667E-2"/>
    <n v="4.8169556840077071E-4"/>
    <n v="5.6506944444444445"/>
    <n v="193.73809523809524"/>
    <n v="130"/>
    <n v="-0.32899102863463192"/>
    <n v="0.67100897136536808"/>
    <n v="-2677"/>
    <x v="0"/>
    <s v="Loss-Making"/>
  </r>
  <r>
    <s v="2025-01-30"/>
    <x v="2"/>
    <s v="Campaign_150"/>
    <x v="146"/>
    <n v="96725"/>
    <n v="4493"/>
    <n v="1367"/>
    <n v="92"/>
    <n v="12236"/>
    <s v="C150"/>
    <n v="4.6451279400361853E-2"/>
    <n v="0.30425105720008905"/>
    <n v="6.7300658376005851E-2"/>
    <n v="9.5115016800206777E-4"/>
    <n v="5.7564008778346745"/>
    <n v="85.532608695652172"/>
    <n v="133"/>
    <n v="0.55496251111958317"/>
    <n v="1.5549625111195833"/>
    <n v="4367"/>
    <x v="0"/>
    <s v="Profit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0B1A6-B896-49F3-9AC3-FB7F9B641CC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22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>
      <items count="148">
        <item x="42"/>
        <item x="96"/>
        <item x="13"/>
        <item x="54"/>
        <item x="135"/>
        <item x="15"/>
        <item x="37"/>
        <item x="18"/>
        <item x="31"/>
        <item x="59"/>
        <item x="90"/>
        <item x="81"/>
        <item x="115"/>
        <item x="118"/>
        <item x="3"/>
        <item x="34"/>
        <item x="72"/>
        <item x="121"/>
        <item x="61"/>
        <item x="0"/>
        <item x="110"/>
        <item x="78"/>
        <item x="63"/>
        <item x="57"/>
        <item x="112"/>
        <item x="58"/>
        <item x="136"/>
        <item x="106"/>
        <item x="36"/>
        <item x="25"/>
        <item x="45"/>
        <item x="20"/>
        <item x="122"/>
        <item x="125"/>
        <item x="32"/>
        <item x="29"/>
        <item x="56"/>
        <item x="41"/>
        <item x="141"/>
        <item x="73"/>
        <item x="52"/>
        <item x="22"/>
        <item x="83"/>
        <item x="40"/>
        <item x="28"/>
        <item x="26"/>
        <item x="139"/>
        <item x="144"/>
        <item x="12"/>
        <item x="71"/>
        <item x="132"/>
        <item x="66"/>
        <item x="97"/>
        <item x="77"/>
        <item x="76"/>
        <item x="79"/>
        <item x="87"/>
        <item x="108"/>
        <item x="62"/>
        <item x="107"/>
        <item x="67"/>
        <item x="68"/>
        <item x="98"/>
        <item x="74"/>
        <item x="6"/>
        <item x="94"/>
        <item x="129"/>
        <item x="38"/>
        <item x="5"/>
        <item x="23"/>
        <item x="16"/>
        <item x="39"/>
        <item x="17"/>
        <item x="114"/>
        <item x="46"/>
        <item x="123"/>
        <item x="55"/>
        <item x="49"/>
        <item x="120"/>
        <item x="105"/>
        <item x="60"/>
        <item x="88"/>
        <item x="86"/>
        <item x="146"/>
        <item x="101"/>
        <item x="64"/>
        <item x="43"/>
        <item x="35"/>
        <item x="145"/>
        <item x="130"/>
        <item x="99"/>
        <item x="33"/>
        <item x="27"/>
        <item x="109"/>
        <item x="111"/>
        <item x="50"/>
        <item x="21"/>
        <item x="91"/>
        <item x="100"/>
        <item x="116"/>
        <item x="70"/>
        <item x="134"/>
        <item x="47"/>
        <item x="113"/>
        <item x="133"/>
        <item x="140"/>
        <item x="92"/>
        <item x="65"/>
        <item x="11"/>
        <item x="82"/>
        <item x="14"/>
        <item x="143"/>
        <item x="10"/>
        <item x="24"/>
        <item x="48"/>
        <item x="75"/>
        <item x="126"/>
        <item x="102"/>
        <item x="138"/>
        <item x="89"/>
        <item x="80"/>
        <item x="19"/>
        <item x="85"/>
        <item x="8"/>
        <item x="51"/>
        <item x="103"/>
        <item x="131"/>
        <item x="127"/>
        <item x="9"/>
        <item x="84"/>
        <item x="44"/>
        <item x="128"/>
        <item x="137"/>
        <item x="142"/>
        <item x="4"/>
        <item x="53"/>
        <item x="93"/>
        <item x="119"/>
        <item x="2"/>
        <item x="7"/>
        <item x="1"/>
        <item x="104"/>
        <item x="69"/>
        <item x="95"/>
        <item x="30"/>
        <item x="124"/>
        <item x="117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0" showAll="0"/>
    <pivotField numFmtId="10" showAll="0"/>
    <pivotField numFmtId="10" showAll="0"/>
    <pivotField numFmtId="164" showAll="0"/>
    <pivotField numFmtId="164" showAll="0"/>
    <pivotField numFmtId="164" showAll="0"/>
    <pivotField dataField="1" numFmtId="10" showAll="0"/>
    <pivotField numFmtId="2" showAll="0"/>
    <pivotField dataField="1" numFmtId="164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pend" fld="3" baseField="0" baseItem="0" numFmtId="164"/>
    <dataField name="Average of ROI (%)" fld="17" subtotal="average" baseField="1" baseItem="0" numFmtId="10"/>
    <dataField name="Sum of Profit (₹)" fld="19" baseField="0" baseItem="0" numFmtId="164"/>
    <dataField name="Sum of Revenu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2D0F3-DC7E-4760-9D4E-7E5D25C9751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7" firstHeaderRow="0" firstDataRow="1" firstDataCol="1"/>
  <pivotFields count="22"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dataField="1" showAll="0"/>
    <pivotField dataField="1" showAll="0"/>
    <pivotField dataField="1" showAll="0"/>
    <pivotField dataField="1" showAll="0"/>
    <pivotField numFmtId="164" showAll="0"/>
    <pivotField showAll="0"/>
    <pivotField dataField="1" numFmtId="10" showAll="0"/>
    <pivotField dataField="1" numFmtId="10" showAll="0"/>
    <pivotField dataField="1" numFmtId="10" showAll="0"/>
    <pivotField numFmtId="10" showAll="0"/>
    <pivotField numFmtId="164" showAll="0"/>
    <pivotField numFmtId="164" showAll="0"/>
    <pivotField numFmtId="164" showAll="0"/>
    <pivotField numFmtId="10" showAll="0"/>
    <pivotField numFmtId="2" showAll="0"/>
    <pivotField numFmtId="164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Impressions" fld="4" baseField="0" baseItem="0"/>
    <dataField name="Average of Conversion Rate (%)" fld="12" subtotal="average" baseField="1" baseItem="0" numFmtId="10"/>
    <dataField name="Average of Lead Rate (%)" fld="11" subtotal="average" baseField="1" baseItem="0" numFmtId="10"/>
    <dataField name="Average of CTR (%)" fld="10" subtotal="average" baseField="1" baseItem="0" numFmtId="10"/>
    <dataField name="Sum of Conversions" fld="7" baseField="0" baseItem="0"/>
    <dataField name="Sum of Leads" fld="6" baseField="0" baseItem="0"/>
    <dataField name="Sum of Click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B4841-5F06-40F9-B82D-CF7A875722F2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22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showAll="0"/>
    <pivotField showAll="0"/>
    <pivotField showAll="0"/>
    <pivotField dataField="1" showAll="0"/>
    <pivotField numFmtId="164" showAll="0"/>
    <pivotField showAll="0"/>
    <pivotField numFmtId="10" showAll="0"/>
    <pivotField numFmtId="10" showAll="0"/>
    <pivotField numFmtId="10" showAll="0"/>
    <pivotField numFmtId="10" showAll="0"/>
    <pivotField dataField="1" numFmtId="164" showAll="0"/>
    <pivotField dataField="1" numFmtId="164" showAll="0"/>
    <pivotField numFmtId="164" showAll="0"/>
    <pivotField numFmtId="10" showAll="0"/>
    <pivotField numFmtId="2" showAll="0"/>
    <pivotField numFmtId="164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versions" fld="7" baseField="0" baseItem="0"/>
    <dataField name="Sum of Spend" fld="3" baseField="0" baseItem="0" numFmtId="164"/>
    <dataField name="Sum of CPL (₹)" fld="14" baseField="0" baseItem="0" numFmtId="164"/>
    <dataField name="Sum of CPC (₹)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CB12F-5C45-41DB-927B-3B6B7BAFD3D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3" firstDataCol="1"/>
  <pivotFields count="22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0" showAll="0"/>
    <pivotField numFmtId="10" showAll="0"/>
    <pivotField numFmtId="10" showAll="0"/>
    <pivotField numFmtId="164" showAll="0"/>
    <pivotField numFmtId="164" showAll="0"/>
    <pivotField numFmtId="164" showAll="0"/>
    <pivotField dataField="1" numFmtId="10" showAll="0"/>
    <pivotField numFmtId="2"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pend" fld="3" baseField="0" baseItem="0" numFmtId="164"/>
    <dataField name="Average of ROI (%)" fld="17" subtotal="average" baseField="20" baseItem="0" numFmtId="10"/>
    <dataField name="Sum of Revenu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17ABC-2993-44A3-9254-CE4E785EC63F}" name="Table1" displayName="Table1" ref="A1:V151" totalsRowShown="0">
  <autoFilter ref="A1:V151" xr:uid="{2E617ABC-2993-44A3-9254-CE4E785EC63F}"/>
  <tableColumns count="22">
    <tableColumn id="1" xr3:uid="{2E727719-00E1-4515-A382-CCA4AD01FB3C}" name="Date" dataDxfId="14"/>
    <tableColumn id="2" xr3:uid="{4B88A476-3597-45B6-B2CD-ED1CBE7E39B2}" name="Channel"/>
    <tableColumn id="3" xr3:uid="{764C05BE-56D0-49AE-A189-46C3129AC13C}" name="Campaign"/>
    <tableColumn id="4" xr3:uid="{3DECAD37-FEB1-449B-9944-836B05A77ACE}" name="Spend" dataDxfId="13"/>
    <tableColumn id="5" xr3:uid="{C88AA456-BCDD-4390-8E7E-FFE51480B925}" name="Impressions"/>
    <tableColumn id="6" xr3:uid="{A5824772-392A-48E6-848E-2E564F59B209}" name="Clicks"/>
    <tableColumn id="7" xr3:uid="{F6E99E5D-46E6-407B-8750-A627836DC30C}" name="Leads"/>
    <tableColumn id="8" xr3:uid="{6599A72C-E774-4EB9-9020-683D19670674}" name="Conversions"/>
    <tableColumn id="9" xr3:uid="{4320E78C-A02D-473A-BC51-E0119694A810}" name="Revenue" dataDxfId="12"/>
    <tableColumn id="10" xr3:uid="{32F49D18-7765-4D0E-AD3D-56B69903E22C}" name="Customer_ID"/>
    <tableColumn id="11" xr3:uid="{75FBE443-0BDE-4F3D-B91A-DB6FE7EE0F56}" name="CTR (%)" dataDxfId="11" dataCellStyle="Percent">
      <calculatedColumnFormula>IFERROR(Table1[[#This Row],[Clicks]]/Table1[[#This Row],[Impressions]],0)</calculatedColumnFormula>
    </tableColumn>
    <tableColumn id="12" xr3:uid="{FF7C5F06-8912-4DF9-A9D1-3BB39E49E05C}" name="Lead Rate (%)" dataDxfId="10" dataCellStyle="Percent">
      <calculatedColumnFormula>IFERROR(Table1[[#This Row],[Leads]]/Table1[[#This Row],[Clicks]],0)</calculatedColumnFormula>
    </tableColumn>
    <tableColumn id="13" xr3:uid="{8E52E4DA-E202-4283-905E-BB34A49B87A4}" name="Conversion Rate (%)" dataDxfId="9" dataCellStyle="Percent">
      <calculatedColumnFormula>IFERROR(Table1[[#This Row],[Conversions]]/Table1[[#This Row],[Leads]],0)</calculatedColumnFormula>
    </tableColumn>
    <tableColumn id="14" xr3:uid="{2884C17D-8C71-4DA8-B7F3-F592BDB44DC1}" name="Funnel Conversion (%)" dataDxfId="8" dataCellStyle="Percent">
      <calculatedColumnFormula>IFERROR(Table1[[#This Row],[Conversions]]/Table1[[#This Row],[Impressions]],0)</calculatedColumnFormula>
    </tableColumn>
    <tableColumn id="15" xr3:uid="{BE62C560-DD4F-41BD-8206-DA1CF8F22037}" name="CPL (₹)" dataDxfId="7" dataCellStyle="Percent">
      <calculatedColumnFormula>IFERROR(Table1[[#This Row],[Spend]]/Table1[[#This Row],[Leads]],0)</calculatedColumnFormula>
    </tableColumn>
    <tableColumn id="16" xr3:uid="{23EC716D-661B-48FB-B841-C5B1BD8730CD}" name="CPC (₹)" dataDxfId="6" dataCellStyle="Percent">
      <calculatedColumnFormula>IFERROR(Table1[[#This Row],[Spend]]/Table1[[#This Row],[Conversions]],0)</calculatedColumnFormula>
    </tableColumn>
    <tableColumn id="17" xr3:uid="{6394691B-3DF2-4BC1-9572-6EE7045E5722}" name="Revenue per Conversion (₹)" dataDxfId="5" dataCellStyle="Percent">
      <calculatedColumnFormula>IFERROR(Table1[[#This Row],[Revenue]]/Table1[[#This Row],[Conversions]],0)</calculatedColumnFormula>
    </tableColumn>
    <tableColumn id="18" xr3:uid="{91870AAA-BA93-4922-9691-CC3722C494AB}" name="ROI (%)" dataDxfId="4" dataCellStyle="Percent">
      <calculatedColumnFormula>IFERROR((Table1[[#This Row],[Revenue]]-Table1[[#This Row],[Spend]])/Table1[[#This Row],[Spend]],0)</calculatedColumnFormula>
    </tableColumn>
    <tableColumn id="19" xr3:uid="{3D72AD05-BD52-450D-9C74-53EFD6894B5F}" name="ROAS" dataDxfId="2" dataCellStyle="Percent">
      <calculatedColumnFormula>IFERROR(Table1[[#This Row],[Revenue]]/Table1[[#This Row],[Spend]],0)</calculatedColumnFormula>
    </tableColumn>
    <tableColumn id="20" xr3:uid="{B52EFFE1-1E5A-4ECF-9A21-61AD39586DFC}" name="Profit (₹)" dataDxfId="3" dataCellStyle="Percent">
      <calculatedColumnFormula>Table1[[#This Row],[Revenue]]-Table1[[#This Row],[Spend]]</calculatedColumnFormula>
    </tableColumn>
    <tableColumn id="21" xr3:uid="{9B8F1505-3A15-4DBC-90FC-706A3F52873D}" name="Month" dataDxfId="1" dataCellStyle="Percent">
      <calculatedColumnFormula>TEXT(Table1[[#This Row],[Date]],"MMM")</calculatedColumnFormula>
    </tableColumn>
    <tableColumn id="22" xr3:uid="{4A0B50F6-6637-4F87-AD2C-FB7F43CDE9DD}" name="Profit Status" dataDxfId="0" dataCellStyle="Percent">
      <calculatedColumnFormula>IF(Table1[[#This Row],[ROI (%)]]&gt;0,"Profitable","Loss-Making")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DF78-F668-42FE-9B06-87B849DE86EC}">
  <dimension ref="A3:E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3" bestFit="1" customWidth="1"/>
    <col min="3" max="3" width="16.453125" bestFit="1" customWidth="1"/>
    <col min="4" max="4" width="14.6328125" bestFit="1" customWidth="1"/>
    <col min="5" max="5" width="14.36328125" bestFit="1" customWidth="1"/>
    <col min="6" max="107" width="9.36328125" bestFit="1" customWidth="1"/>
    <col min="108" max="148" width="10.36328125" bestFit="1" customWidth="1"/>
    <col min="149" max="149" width="10.7265625" bestFit="1" customWidth="1"/>
  </cols>
  <sheetData>
    <row r="3" spans="1:5" x14ac:dyDescent="0.35">
      <c r="A3" s="7" t="s">
        <v>385</v>
      </c>
      <c r="B3" t="s">
        <v>388</v>
      </c>
      <c r="C3" t="s">
        <v>391</v>
      </c>
      <c r="D3" t="s">
        <v>390</v>
      </c>
      <c r="E3" t="s">
        <v>389</v>
      </c>
    </row>
    <row r="4" spans="1:5" x14ac:dyDescent="0.35">
      <c r="A4" s="8" t="s">
        <v>11</v>
      </c>
      <c r="B4" s="2">
        <v>319423</v>
      </c>
      <c r="C4" s="9">
        <v>8.4278914717637026</v>
      </c>
      <c r="D4" s="2">
        <v>2606113</v>
      </c>
      <c r="E4" s="2">
        <v>2925536</v>
      </c>
    </row>
    <row r="5" spans="1:5" x14ac:dyDescent="0.35">
      <c r="A5" s="8" t="s">
        <v>15</v>
      </c>
      <c r="B5" s="2">
        <v>531402</v>
      </c>
      <c r="C5" s="9">
        <v>-0.37632005667738017</v>
      </c>
      <c r="D5" s="2">
        <v>-204219</v>
      </c>
      <c r="E5" s="2">
        <v>327183</v>
      </c>
    </row>
    <row r="6" spans="1:5" x14ac:dyDescent="0.35">
      <c r="A6" s="8" t="s">
        <v>28</v>
      </c>
      <c r="B6" s="2">
        <v>362275</v>
      </c>
      <c r="C6" s="9">
        <v>0.42898557163240897</v>
      </c>
      <c r="D6" s="2">
        <v>152168</v>
      </c>
      <c r="E6" s="2">
        <v>514443</v>
      </c>
    </row>
    <row r="7" spans="1:5" x14ac:dyDescent="0.35">
      <c r="A7" s="8" t="s">
        <v>386</v>
      </c>
      <c r="B7" s="2">
        <v>1213100</v>
      </c>
      <c r="C7" s="9">
        <v>3.2269781251893632</v>
      </c>
      <c r="D7" s="2">
        <v>2554062</v>
      </c>
      <c r="E7" s="2">
        <v>3767162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2FC2-3F73-43B4-BF8F-3F425CEC05CA}">
  <dimension ref="A3:H7"/>
  <sheetViews>
    <sheetView topLeftCell="C1"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7.36328125" bestFit="1" customWidth="1"/>
    <col min="3" max="3" width="27.36328125" bestFit="1" customWidth="1"/>
    <col min="4" max="4" width="21.81640625" bestFit="1" customWidth="1"/>
    <col min="5" max="5" width="16.6328125" bestFit="1" customWidth="1"/>
    <col min="6" max="6" width="17.453125" bestFit="1" customWidth="1"/>
    <col min="7" max="7" width="11.81640625" bestFit="1" customWidth="1"/>
    <col min="8" max="8" width="11.7265625" bestFit="1" customWidth="1"/>
  </cols>
  <sheetData>
    <row r="3" spans="1:8" x14ac:dyDescent="0.35">
      <c r="A3" s="7" t="s">
        <v>385</v>
      </c>
      <c r="B3" t="s">
        <v>392</v>
      </c>
      <c r="C3" t="s">
        <v>398</v>
      </c>
      <c r="D3" t="s">
        <v>396</v>
      </c>
      <c r="E3" t="s">
        <v>397</v>
      </c>
      <c r="F3" t="s">
        <v>395</v>
      </c>
      <c r="G3" t="s">
        <v>394</v>
      </c>
      <c r="H3" t="s">
        <v>393</v>
      </c>
    </row>
    <row r="4" spans="1:8" x14ac:dyDescent="0.35">
      <c r="A4" s="8" t="s">
        <v>11</v>
      </c>
      <c r="B4" s="10">
        <v>3201999</v>
      </c>
      <c r="C4" s="9">
        <v>0.29007847463519698</v>
      </c>
      <c r="D4" s="9">
        <v>0.21174760292528216</v>
      </c>
      <c r="E4" s="9">
        <v>7.4860276948373619E-2</v>
      </c>
      <c r="F4" s="10">
        <v>13748</v>
      </c>
      <c r="G4" s="10">
        <v>48080</v>
      </c>
      <c r="H4" s="10">
        <v>232394</v>
      </c>
    </row>
    <row r="5" spans="1:8" x14ac:dyDescent="0.35">
      <c r="A5" s="8" t="s">
        <v>15</v>
      </c>
      <c r="B5" s="10">
        <v>1483243</v>
      </c>
      <c r="C5" s="9">
        <v>0.11967684443595862</v>
      </c>
      <c r="D5" s="9">
        <v>0.16629433855971129</v>
      </c>
      <c r="E5" s="9">
        <v>6.8138241257678644E-2</v>
      </c>
      <c r="F5" s="10">
        <v>1767</v>
      </c>
      <c r="G5" s="10">
        <v>15951</v>
      </c>
      <c r="H5" s="10">
        <v>99339</v>
      </c>
    </row>
    <row r="6" spans="1:8" x14ac:dyDescent="0.35">
      <c r="A6" s="8" t="s">
        <v>28</v>
      </c>
      <c r="B6" s="10">
        <v>4029151</v>
      </c>
      <c r="C6" s="9">
        <v>5.6963892075048837E-2</v>
      </c>
      <c r="D6" s="9">
        <v>0.26012228699266421</v>
      </c>
      <c r="E6" s="9">
        <v>5.8895285674196836E-2</v>
      </c>
      <c r="F6" s="10">
        <v>3361</v>
      </c>
      <c r="G6" s="10">
        <v>60054</v>
      </c>
      <c r="H6" s="10">
        <v>234290</v>
      </c>
    </row>
    <row r="7" spans="1:8" x14ac:dyDescent="0.35">
      <c r="A7" s="8" t="s">
        <v>386</v>
      </c>
      <c r="B7" s="10">
        <v>8714393</v>
      </c>
      <c r="C7" s="9">
        <v>0.16436131915617805</v>
      </c>
      <c r="D7" s="9">
        <v>0.21359152251717306</v>
      </c>
      <c r="E7" s="9">
        <v>6.7734869033428527E-2</v>
      </c>
      <c r="F7" s="10">
        <v>18876</v>
      </c>
      <c r="G7" s="10">
        <v>124085</v>
      </c>
      <c r="H7" s="10">
        <v>566023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82BF-AF0D-458F-9252-DE7779947FEC}">
  <dimension ref="A3:E7"/>
  <sheetViews>
    <sheetView tabSelected="1" workbookViewId="0">
      <selection activeCell="D13" sqref="D13"/>
    </sheetView>
  </sheetViews>
  <sheetFormatPr defaultRowHeight="14.5" x14ac:dyDescent="0.35"/>
  <cols>
    <col min="1" max="1" width="12.36328125" bestFit="1" customWidth="1"/>
    <col min="2" max="2" width="17.453125" bestFit="1" customWidth="1"/>
    <col min="3" max="3" width="13" bestFit="1" customWidth="1"/>
    <col min="4" max="4" width="12.90625" bestFit="1" customWidth="1"/>
    <col min="5" max="5" width="13.1796875" bestFit="1" customWidth="1"/>
  </cols>
  <sheetData>
    <row r="3" spans="1:5" x14ac:dyDescent="0.35">
      <c r="A3" s="7" t="s">
        <v>385</v>
      </c>
      <c r="B3" t="s">
        <v>395</v>
      </c>
      <c r="C3" t="s">
        <v>388</v>
      </c>
      <c r="D3" t="s">
        <v>399</v>
      </c>
      <c r="E3" t="s">
        <v>400</v>
      </c>
    </row>
    <row r="4" spans="1:5" x14ac:dyDescent="0.35">
      <c r="A4" s="8" t="s">
        <v>11</v>
      </c>
      <c r="B4" s="10">
        <v>13748</v>
      </c>
      <c r="C4" s="2">
        <v>319423</v>
      </c>
      <c r="D4" s="2">
        <v>382.89878123004956</v>
      </c>
      <c r="E4" s="2">
        <v>1354.8343233700612</v>
      </c>
    </row>
    <row r="5" spans="1:5" x14ac:dyDescent="0.35">
      <c r="A5" s="8" t="s">
        <v>15</v>
      </c>
      <c r="B5" s="10">
        <v>1767</v>
      </c>
      <c r="C5" s="2">
        <v>531402</v>
      </c>
      <c r="D5" s="2">
        <v>1597.8930568196488</v>
      </c>
      <c r="E5" s="2">
        <v>14862.944466427443</v>
      </c>
    </row>
    <row r="6" spans="1:5" x14ac:dyDescent="0.35">
      <c r="A6" s="8" t="s">
        <v>28</v>
      </c>
      <c r="B6" s="10">
        <v>3361</v>
      </c>
      <c r="C6" s="2">
        <v>362275</v>
      </c>
      <c r="D6" s="2">
        <v>294.46585412967278</v>
      </c>
      <c r="E6" s="2">
        <v>5494.0315658576619</v>
      </c>
    </row>
    <row r="7" spans="1:5" x14ac:dyDescent="0.35">
      <c r="A7" s="8" t="s">
        <v>386</v>
      </c>
      <c r="B7" s="10">
        <v>18876</v>
      </c>
      <c r="C7" s="2">
        <v>1213100</v>
      </c>
      <c r="D7" s="2">
        <v>2275.2576921793711</v>
      </c>
      <c r="E7" s="2">
        <v>21711.810355655165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798-BB7B-4B3F-A103-A9C29339CD22}">
  <dimension ref="A3:M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6.453125" bestFit="1" customWidth="1"/>
    <col min="4" max="4" width="14.36328125" bestFit="1" customWidth="1"/>
    <col min="5" max="5" width="12.26953125" bestFit="1" customWidth="1"/>
    <col min="6" max="6" width="16.453125" bestFit="1" customWidth="1"/>
    <col min="7" max="7" width="14.36328125" bestFit="1" customWidth="1"/>
    <col min="8" max="8" width="12.26953125" bestFit="1" customWidth="1"/>
    <col min="9" max="9" width="16.453125" bestFit="1" customWidth="1"/>
    <col min="10" max="10" width="14.36328125" bestFit="1" customWidth="1"/>
    <col min="11" max="11" width="17.1796875" bestFit="1" customWidth="1"/>
    <col min="12" max="12" width="21.36328125" bestFit="1" customWidth="1"/>
    <col min="13" max="13" width="19.1796875" bestFit="1" customWidth="1"/>
  </cols>
  <sheetData>
    <row r="3" spans="1:13" x14ac:dyDescent="0.35">
      <c r="B3" s="7" t="s">
        <v>387</v>
      </c>
    </row>
    <row r="4" spans="1:13" x14ac:dyDescent="0.35">
      <c r="B4" t="s">
        <v>11</v>
      </c>
      <c r="E4" t="s">
        <v>15</v>
      </c>
      <c r="H4" t="s">
        <v>28</v>
      </c>
      <c r="K4" t="s">
        <v>404</v>
      </c>
      <c r="L4" t="s">
        <v>406</v>
      </c>
      <c r="M4" t="s">
        <v>405</v>
      </c>
    </row>
    <row r="5" spans="1:13" x14ac:dyDescent="0.35">
      <c r="A5" s="7" t="s">
        <v>385</v>
      </c>
      <c r="B5" t="s">
        <v>388</v>
      </c>
      <c r="C5" t="s">
        <v>391</v>
      </c>
      <c r="D5" t="s">
        <v>389</v>
      </c>
      <c r="E5" t="s">
        <v>388</v>
      </c>
      <c r="F5" t="s">
        <v>391</v>
      </c>
      <c r="G5" t="s">
        <v>389</v>
      </c>
      <c r="H5" t="s">
        <v>388</v>
      </c>
      <c r="I5" t="s">
        <v>391</v>
      </c>
      <c r="J5" t="s">
        <v>389</v>
      </c>
    </row>
    <row r="6" spans="1:13" x14ac:dyDescent="0.35">
      <c r="A6" s="8" t="s">
        <v>401</v>
      </c>
      <c r="B6" s="2">
        <v>174445</v>
      </c>
      <c r="C6" s="9">
        <v>8.1241927153990119</v>
      </c>
      <c r="D6" s="2">
        <v>1550553</v>
      </c>
      <c r="E6" s="2">
        <v>387071</v>
      </c>
      <c r="F6" s="9">
        <v>-0.37103985090731578</v>
      </c>
      <c r="G6" s="2">
        <v>239221</v>
      </c>
      <c r="H6" s="2">
        <v>205282</v>
      </c>
      <c r="I6" s="9">
        <v>0.47701895811234657</v>
      </c>
      <c r="J6" s="2">
        <v>299402</v>
      </c>
      <c r="K6" s="2">
        <v>766798</v>
      </c>
      <c r="L6" s="9">
        <v>2.749589020919279</v>
      </c>
      <c r="M6" s="2">
        <v>2089176</v>
      </c>
    </row>
    <row r="7" spans="1:13" x14ac:dyDescent="0.35">
      <c r="A7" s="8" t="s">
        <v>402</v>
      </c>
      <c r="B7" s="2">
        <v>140384</v>
      </c>
      <c r="C7" s="9">
        <v>8.6950459176514077</v>
      </c>
      <c r="D7" s="2">
        <v>1319103</v>
      </c>
      <c r="E7" s="2">
        <v>130369</v>
      </c>
      <c r="F7" s="9">
        <v>-0.38447214689018955</v>
      </c>
      <c r="G7" s="2">
        <v>80435</v>
      </c>
      <c r="H7" s="2">
        <v>156993</v>
      </c>
      <c r="I7" s="9">
        <v>0.36173883056049633</v>
      </c>
      <c r="J7" s="2">
        <v>215041</v>
      </c>
      <c r="K7" s="2">
        <v>427746</v>
      </c>
      <c r="L7" s="9">
        <v>3.9353880524411262</v>
      </c>
      <c r="M7" s="2">
        <v>1614579</v>
      </c>
    </row>
    <row r="8" spans="1:13" x14ac:dyDescent="0.35">
      <c r="A8" s="8" t="s">
        <v>403</v>
      </c>
      <c r="B8" s="2">
        <v>4594</v>
      </c>
      <c r="C8" s="9">
        <v>11.16369177187636</v>
      </c>
      <c r="D8" s="2">
        <v>55880</v>
      </c>
      <c r="E8" s="2">
        <v>13962</v>
      </c>
      <c r="F8" s="9">
        <v>-0.46089385474860334</v>
      </c>
      <c r="G8" s="2">
        <v>7527</v>
      </c>
      <c r="H8" s="2"/>
      <c r="I8" s="9"/>
      <c r="J8" s="2"/>
      <c r="K8" s="2">
        <v>18556</v>
      </c>
      <c r="L8" s="9">
        <v>5.3513989585638786</v>
      </c>
      <c r="M8" s="2">
        <v>63407</v>
      </c>
    </row>
    <row r="9" spans="1:13" x14ac:dyDescent="0.35">
      <c r="A9" s="8" t="s">
        <v>386</v>
      </c>
      <c r="B9" s="2">
        <v>319423</v>
      </c>
      <c r="C9" s="9">
        <v>8.427891471763699</v>
      </c>
      <c r="D9" s="2">
        <v>2925536</v>
      </c>
      <c r="E9" s="2">
        <v>531402</v>
      </c>
      <c r="F9" s="9">
        <v>-0.37632005667738028</v>
      </c>
      <c r="G9" s="2">
        <v>327183</v>
      </c>
      <c r="H9" s="2">
        <v>362275</v>
      </c>
      <c r="I9" s="9">
        <v>0.42898557163240891</v>
      </c>
      <c r="J9" s="2">
        <v>514443</v>
      </c>
      <c r="K9" s="2">
        <v>1213100</v>
      </c>
      <c r="L9" s="9">
        <v>3.2269781251893632</v>
      </c>
      <c r="M9" s="2">
        <v>3767162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topLeftCell="K1" workbookViewId="0">
      <selection activeCell="G16" sqref="G16"/>
    </sheetView>
  </sheetViews>
  <sheetFormatPr defaultRowHeight="14.5" x14ac:dyDescent="0.35"/>
  <cols>
    <col min="1" max="1" width="10.08984375" style="1" bestFit="1" customWidth="1"/>
    <col min="2" max="2" width="10.1796875" bestFit="1" customWidth="1"/>
    <col min="3" max="3" width="13.1796875" bestFit="1" customWidth="1"/>
    <col min="4" max="4" width="10.26953125" style="2" bestFit="1" customWidth="1"/>
    <col min="5" max="5" width="12.90625" customWidth="1"/>
    <col min="8" max="8" width="13" customWidth="1"/>
    <col min="9" max="9" width="10.26953125" style="2" bestFit="1" customWidth="1"/>
    <col min="10" max="10" width="13.81640625" customWidth="1"/>
    <col min="11" max="11" width="8.7265625" style="3"/>
    <col min="12" max="12" width="14.453125" style="3" bestFit="1" customWidth="1"/>
    <col min="13" max="13" width="20.08984375" style="3" bestFit="1" customWidth="1"/>
    <col min="14" max="14" width="21.90625" bestFit="1" customWidth="1"/>
    <col min="15" max="15" width="8.7265625" style="2"/>
    <col min="16" max="16" width="9.81640625" style="2" bestFit="1" customWidth="1"/>
    <col min="17" max="17" width="26.36328125" style="2" bestFit="1" customWidth="1"/>
    <col min="18" max="18" width="8.7265625" style="3"/>
    <col min="19" max="19" width="8.7265625" style="5"/>
    <col min="20" max="20" width="10.26953125" bestFit="1" customWidth="1"/>
    <col min="22" max="22" width="11.08984375" bestFit="1" customWidth="1"/>
  </cols>
  <sheetData>
    <row r="1" spans="1:22" x14ac:dyDescent="0.3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3" t="s">
        <v>373</v>
      </c>
      <c r="L1" s="3" t="s">
        <v>374</v>
      </c>
      <c r="M1" s="3" t="s">
        <v>375</v>
      </c>
      <c r="N1" t="s">
        <v>376</v>
      </c>
      <c r="O1" s="2" t="s">
        <v>377</v>
      </c>
      <c r="P1" s="2" t="s">
        <v>378</v>
      </c>
      <c r="Q1" s="2" t="s">
        <v>379</v>
      </c>
      <c r="R1" s="3" t="s">
        <v>380</v>
      </c>
      <c r="S1" s="5" t="s">
        <v>381</v>
      </c>
      <c r="T1" t="s">
        <v>382</v>
      </c>
      <c r="U1" t="s">
        <v>383</v>
      </c>
      <c r="V1" t="s">
        <v>384</v>
      </c>
    </row>
    <row r="2" spans="1:22" x14ac:dyDescent="0.35">
      <c r="A2" s="1" t="s">
        <v>10</v>
      </c>
      <c r="B2" t="s">
        <v>11</v>
      </c>
      <c r="C2" t="s">
        <v>12</v>
      </c>
      <c r="D2" s="2">
        <v>5259</v>
      </c>
      <c r="E2">
        <v>53756</v>
      </c>
      <c r="F2">
        <v>3807</v>
      </c>
      <c r="G2">
        <v>832</v>
      </c>
      <c r="H2">
        <v>207</v>
      </c>
      <c r="I2" s="2">
        <v>45747</v>
      </c>
      <c r="J2" t="s">
        <v>13</v>
      </c>
      <c r="K2" s="3">
        <f>IFERROR(Table1[[#This Row],[Clicks]]/Table1[[#This Row],[Impressions]],0)</f>
        <v>7.0820001488205969E-2</v>
      </c>
      <c r="L2" s="3">
        <f>IFERROR(Table1[[#This Row],[Leads]]/Table1[[#This Row],[Clicks]],0)</f>
        <v>0.21854478592067245</v>
      </c>
      <c r="M2" s="3">
        <f>IFERROR(Table1[[#This Row],[Conversions]]/Table1[[#This Row],[Leads]],0)</f>
        <v>0.24879807692307693</v>
      </c>
      <c r="N2" s="3">
        <f>IFERROR(Table1[[#This Row],[Conversions]]/Table1[[#This Row],[Impressions]],0)</f>
        <v>3.850732941439095E-3</v>
      </c>
      <c r="O2" s="4">
        <f>IFERROR(Table1[[#This Row],[Spend]]/Table1[[#This Row],[Leads]],0)</f>
        <v>6.3209134615384617</v>
      </c>
      <c r="P2" s="4">
        <f>IFERROR(Table1[[#This Row],[Spend]]/Table1[[#This Row],[Conversions]],0)</f>
        <v>25.405797101449274</v>
      </c>
      <c r="Q2" s="4">
        <f>IFERROR(Table1[[#This Row],[Revenue]]/Table1[[#This Row],[Conversions]],0)</f>
        <v>221</v>
      </c>
      <c r="R2" s="3">
        <f>IFERROR((Table1[[#This Row],[Revenue]]-Table1[[#This Row],[Spend]])/Table1[[#This Row],[Spend]],0)</f>
        <v>7.6988020536223614</v>
      </c>
      <c r="S2" s="6">
        <f>IFERROR(Table1[[#This Row],[Revenue]]/Table1[[#This Row],[Spend]],0)</f>
        <v>8.6988020536223623</v>
      </c>
      <c r="T2" s="4">
        <f>Table1[[#This Row],[Revenue]]-Table1[[#This Row],[Spend]]</f>
        <v>40488</v>
      </c>
      <c r="U2" s="4" t="str">
        <f>TEXT(Table1[[#This Row],[Date]],"MMM")</f>
        <v>Jan</v>
      </c>
      <c r="V2" s="4" t="str">
        <f>IF(Table1[[#This Row],[ROI (%)]]&gt;0,"Profitable","Loss-Making")</f>
        <v>Profitable</v>
      </c>
    </row>
    <row r="3" spans="1:22" x14ac:dyDescent="0.35">
      <c r="A3" s="1" t="s">
        <v>14</v>
      </c>
      <c r="B3" t="s">
        <v>15</v>
      </c>
      <c r="C3" t="s">
        <v>16</v>
      </c>
      <c r="D3" s="2">
        <v>13294</v>
      </c>
      <c r="E3">
        <v>34567</v>
      </c>
      <c r="F3">
        <v>2310</v>
      </c>
      <c r="G3">
        <v>290</v>
      </c>
      <c r="H3">
        <v>28</v>
      </c>
      <c r="I3" s="2">
        <v>5796</v>
      </c>
      <c r="J3" t="s">
        <v>17</v>
      </c>
      <c r="K3" s="3">
        <f>IFERROR(Table1[[#This Row],[Clicks]]/Table1[[#This Row],[Impressions]],0)</f>
        <v>6.6826742268637718E-2</v>
      </c>
      <c r="L3" s="3">
        <f>IFERROR(Table1[[#This Row],[Leads]]/Table1[[#This Row],[Clicks]],0)</f>
        <v>0.12554112554112554</v>
      </c>
      <c r="M3" s="3">
        <f>IFERROR(Table1[[#This Row],[Conversions]]/Table1[[#This Row],[Leads]],0)</f>
        <v>9.6551724137931033E-2</v>
      </c>
      <c r="N3" s="3">
        <f>IFERROR(Table1[[#This Row],[Conversions]]/Table1[[#This Row],[Impressions]],0)</f>
        <v>8.1002111840772987E-4</v>
      </c>
      <c r="O3" s="4">
        <f>IFERROR(Table1[[#This Row],[Spend]]/Table1[[#This Row],[Leads]],0)</f>
        <v>45.841379310344827</v>
      </c>
      <c r="P3" s="4">
        <f>IFERROR(Table1[[#This Row],[Spend]]/Table1[[#This Row],[Conversions]],0)</f>
        <v>474.78571428571428</v>
      </c>
      <c r="Q3" s="4">
        <f>IFERROR(Table1[[#This Row],[Revenue]]/Table1[[#This Row],[Conversions]],0)</f>
        <v>207</v>
      </c>
      <c r="R3" s="3">
        <f>IFERROR((Table1[[#This Row],[Revenue]]-Table1[[#This Row],[Spend]])/Table1[[#This Row],[Spend]],0)</f>
        <v>-0.56401384083044981</v>
      </c>
      <c r="S3" s="6">
        <f>IFERROR(Table1[[#This Row],[Revenue]]/Table1[[#This Row],[Spend]],0)</f>
        <v>0.43598615916955019</v>
      </c>
      <c r="T3" s="4">
        <f>Table1[[#This Row],[Revenue]]-Table1[[#This Row],[Spend]]</f>
        <v>-7498</v>
      </c>
      <c r="U3" s="4" t="str">
        <f>TEXT(Table1[[#This Row],[Date]],"MMM")</f>
        <v>Jan</v>
      </c>
      <c r="V3" s="4" t="str">
        <f>IF(Table1[[#This Row],[ROI (%)]]&gt;0,"Profitable","Loss-Making")</f>
        <v>Loss-Making</v>
      </c>
    </row>
    <row r="4" spans="1:22" x14ac:dyDescent="0.35">
      <c r="A4" s="1" t="s">
        <v>18</v>
      </c>
      <c r="B4" t="s">
        <v>15</v>
      </c>
      <c r="C4" t="s">
        <v>19</v>
      </c>
      <c r="D4" s="2">
        <v>12999</v>
      </c>
      <c r="E4">
        <v>38602</v>
      </c>
      <c r="F4">
        <v>1724</v>
      </c>
      <c r="G4">
        <v>382</v>
      </c>
      <c r="H4">
        <v>36</v>
      </c>
      <c r="I4" s="2">
        <v>6048</v>
      </c>
      <c r="J4" t="s">
        <v>20</v>
      </c>
      <c r="K4" s="3">
        <f>IFERROR(Table1[[#This Row],[Clicks]]/Table1[[#This Row],[Impressions]],0)</f>
        <v>4.4660898399046682E-2</v>
      </c>
      <c r="L4" s="3">
        <f>IFERROR(Table1[[#This Row],[Leads]]/Table1[[#This Row],[Clicks]],0)</f>
        <v>0.22157772621809746</v>
      </c>
      <c r="M4" s="3">
        <f>IFERROR(Table1[[#This Row],[Conversions]]/Table1[[#This Row],[Leads]],0)</f>
        <v>9.4240837696335081E-2</v>
      </c>
      <c r="N4" s="3">
        <f>IFERROR(Table1[[#This Row],[Conversions]]/Table1[[#This Row],[Impressions]],0)</f>
        <v>9.3259416610538316E-4</v>
      </c>
      <c r="O4" s="4">
        <f>IFERROR(Table1[[#This Row],[Spend]]/Table1[[#This Row],[Leads]],0)</f>
        <v>34.028795811518322</v>
      </c>
      <c r="P4" s="4">
        <f>IFERROR(Table1[[#This Row],[Spend]]/Table1[[#This Row],[Conversions]],0)</f>
        <v>361.08333333333331</v>
      </c>
      <c r="Q4" s="4">
        <f>IFERROR(Table1[[#This Row],[Revenue]]/Table1[[#This Row],[Conversions]],0)</f>
        <v>168</v>
      </c>
      <c r="R4" s="3">
        <f>IFERROR((Table1[[#This Row],[Revenue]]-Table1[[#This Row],[Spend]])/Table1[[#This Row],[Spend]],0)</f>
        <v>-0.53473344103392573</v>
      </c>
      <c r="S4" s="6">
        <f>IFERROR(Table1[[#This Row],[Revenue]]/Table1[[#This Row],[Spend]],0)</f>
        <v>0.46526655896607433</v>
      </c>
      <c r="T4" s="4">
        <f>Table1[[#This Row],[Revenue]]-Table1[[#This Row],[Spend]]</f>
        <v>-6951</v>
      </c>
      <c r="U4" s="4" t="str">
        <f>TEXT(Table1[[#This Row],[Date]],"MMM")</f>
        <v>Jan</v>
      </c>
      <c r="V4" s="4" t="str">
        <f>IF(Table1[[#This Row],[ROI (%)]]&gt;0,"Profitable","Loss-Making")</f>
        <v>Loss-Making</v>
      </c>
    </row>
    <row r="5" spans="1:22" x14ac:dyDescent="0.35">
      <c r="A5" s="1" t="s">
        <v>21</v>
      </c>
      <c r="B5" t="s">
        <v>11</v>
      </c>
      <c r="C5" t="s">
        <v>22</v>
      </c>
      <c r="D5" s="2">
        <v>5033</v>
      </c>
      <c r="E5">
        <v>43228</v>
      </c>
      <c r="F5">
        <v>4576</v>
      </c>
      <c r="G5">
        <v>723</v>
      </c>
      <c r="H5">
        <v>292</v>
      </c>
      <c r="I5" s="2">
        <v>62196</v>
      </c>
      <c r="J5" t="s">
        <v>23</v>
      </c>
      <c r="K5" s="3">
        <f>IFERROR(Table1[[#This Row],[Clicks]]/Table1[[#This Row],[Impressions]],0)</f>
        <v>0.10585731470343296</v>
      </c>
      <c r="L5" s="3">
        <f>IFERROR(Table1[[#This Row],[Leads]]/Table1[[#This Row],[Clicks]],0)</f>
        <v>0.15799825174825174</v>
      </c>
      <c r="M5" s="3">
        <f>IFERROR(Table1[[#This Row],[Conversions]]/Table1[[#This Row],[Leads]],0)</f>
        <v>0.40387275242047027</v>
      </c>
      <c r="N5" s="3">
        <f>IFERROR(Table1[[#This Row],[Conversions]]/Table1[[#This Row],[Impressions]],0)</f>
        <v>6.7548810955861942E-3</v>
      </c>
      <c r="O5" s="4">
        <f>IFERROR(Table1[[#This Row],[Spend]]/Table1[[#This Row],[Leads]],0)</f>
        <v>6.9612724757952975</v>
      </c>
      <c r="P5" s="4">
        <f>IFERROR(Table1[[#This Row],[Spend]]/Table1[[#This Row],[Conversions]],0)</f>
        <v>17.236301369863014</v>
      </c>
      <c r="Q5" s="4">
        <f>IFERROR(Table1[[#This Row],[Revenue]]/Table1[[#This Row],[Conversions]],0)</f>
        <v>213</v>
      </c>
      <c r="R5" s="3">
        <f>IFERROR((Table1[[#This Row],[Revenue]]-Table1[[#This Row],[Spend]])/Table1[[#This Row],[Spend]],0)</f>
        <v>11.357639578780052</v>
      </c>
      <c r="S5" s="6">
        <f>IFERROR(Table1[[#This Row],[Revenue]]/Table1[[#This Row],[Spend]],0)</f>
        <v>12.357639578780052</v>
      </c>
      <c r="T5" s="4">
        <f>Table1[[#This Row],[Revenue]]-Table1[[#This Row],[Spend]]</f>
        <v>57163</v>
      </c>
      <c r="U5" s="4" t="str">
        <f>TEXT(Table1[[#This Row],[Date]],"MMM")</f>
        <v>Jan</v>
      </c>
      <c r="V5" s="4" t="str">
        <f>IF(Table1[[#This Row],[ROI (%)]]&gt;0,"Profitable","Loss-Making")</f>
        <v>Profitable</v>
      </c>
    </row>
    <row r="6" spans="1:22" x14ac:dyDescent="0.35">
      <c r="A6" s="1" t="s">
        <v>24</v>
      </c>
      <c r="B6" t="s">
        <v>15</v>
      </c>
      <c r="C6" t="s">
        <v>25</v>
      </c>
      <c r="D6" s="2">
        <v>12857</v>
      </c>
      <c r="E6">
        <v>37691</v>
      </c>
      <c r="F6">
        <v>2244</v>
      </c>
      <c r="G6">
        <v>361</v>
      </c>
      <c r="H6">
        <v>29</v>
      </c>
      <c r="I6" s="2">
        <v>5104</v>
      </c>
      <c r="J6" t="s">
        <v>26</v>
      </c>
      <c r="K6" s="3">
        <f>IFERROR(Table1[[#This Row],[Clicks]]/Table1[[#This Row],[Impressions]],0)</f>
        <v>5.9536759438592768E-2</v>
      </c>
      <c r="L6" s="3">
        <f>IFERROR(Table1[[#This Row],[Leads]]/Table1[[#This Row],[Clicks]],0)</f>
        <v>0.160873440285205</v>
      </c>
      <c r="M6" s="3">
        <f>IFERROR(Table1[[#This Row],[Conversions]]/Table1[[#This Row],[Leads]],0)</f>
        <v>8.0332409972299165E-2</v>
      </c>
      <c r="N6" s="3">
        <f>IFERROR(Table1[[#This Row],[Conversions]]/Table1[[#This Row],[Impressions]],0)</f>
        <v>7.6941444907272297E-4</v>
      </c>
      <c r="O6" s="4">
        <f>IFERROR(Table1[[#This Row],[Spend]]/Table1[[#This Row],[Leads]],0)</f>
        <v>35.614958448753463</v>
      </c>
      <c r="P6" s="4">
        <f>IFERROR(Table1[[#This Row],[Spend]]/Table1[[#This Row],[Conversions]],0)</f>
        <v>443.34482758620692</v>
      </c>
      <c r="Q6" s="4">
        <f>IFERROR(Table1[[#This Row],[Revenue]]/Table1[[#This Row],[Conversions]],0)</f>
        <v>176</v>
      </c>
      <c r="R6" s="3">
        <f>IFERROR((Table1[[#This Row],[Revenue]]-Table1[[#This Row],[Spend]])/Table1[[#This Row],[Spend]],0)</f>
        <v>-0.60301781130901455</v>
      </c>
      <c r="S6" s="6">
        <f>IFERROR(Table1[[#This Row],[Revenue]]/Table1[[#This Row],[Spend]],0)</f>
        <v>0.39698218869098545</v>
      </c>
      <c r="T6" s="4">
        <f>Table1[[#This Row],[Revenue]]-Table1[[#This Row],[Spend]]</f>
        <v>-7753</v>
      </c>
      <c r="U6" s="4" t="str">
        <f>TEXT(Table1[[#This Row],[Date]],"MMM")</f>
        <v>Jan</v>
      </c>
      <c r="V6" s="4" t="str">
        <f>IF(Table1[[#This Row],[ROI (%)]]&gt;0,"Profitable","Loss-Making")</f>
        <v>Loss-Making</v>
      </c>
    </row>
    <row r="7" spans="1:22" x14ac:dyDescent="0.35">
      <c r="A7" s="1" t="s">
        <v>27</v>
      </c>
      <c r="B7" t="s">
        <v>28</v>
      </c>
      <c r="C7" t="s">
        <v>29</v>
      </c>
      <c r="D7" s="2">
        <v>6999</v>
      </c>
      <c r="E7">
        <v>82513</v>
      </c>
      <c r="F7">
        <v>4116</v>
      </c>
      <c r="G7">
        <v>1275</v>
      </c>
      <c r="H7">
        <v>78</v>
      </c>
      <c r="I7" s="2">
        <v>12558</v>
      </c>
      <c r="J7" t="s">
        <v>30</v>
      </c>
      <c r="K7" s="3">
        <f>IFERROR(Table1[[#This Row],[Clicks]]/Table1[[#This Row],[Impressions]],0)</f>
        <v>4.9883048731715E-2</v>
      </c>
      <c r="L7" s="3">
        <f>IFERROR(Table1[[#This Row],[Leads]]/Table1[[#This Row],[Clicks]],0)</f>
        <v>0.30976676384839652</v>
      </c>
      <c r="M7" s="3">
        <f>IFERROR(Table1[[#This Row],[Conversions]]/Table1[[#This Row],[Leads]],0)</f>
        <v>6.1176470588235297E-2</v>
      </c>
      <c r="N7" s="3">
        <f>IFERROR(Table1[[#This Row],[Conversions]]/Table1[[#This Row],[Impressions]],0)</f>
        <v>9.4530558821034265E-4</v>
      </c>
      <c r="O7" s="4">
        <f>IFERROR(Table1[[#This Row],[Spend]]/Table1[[#This Row],[Leads]],0)</f>
        <v>5.4894117647058822</v>
      </c>
      <c r="P7" s="4">
        <f>IFERROR(Table1[[#This Row],[Spend]]/Table1[[#This Row],[Conversions]],0)</f>
        <v>89.730769230769226</v>
      </c>
      <c r="Q7" s="4">
        <f>IFERROR(Table1[[#This Row],[Revenue]]/Table1[[#This Row],[Conversions]],0)</f>
        <v>161</v>
      </c>
      <c r="R7" s="3">
        <f>IFERROR((Table1[[#This Row],[Revenue]]-Table1[[#This Row],[Spend]])/Table1[[#This Row],[Spend]],0)</f>
        <v>0.79425632233176169</v>
      </c>
      <c r="S7" s="6">
        <f>IFERROR(Table1[[#This Row],[Revenue]]/Table1[[#This Row],[Spend]],0)</f>
        <v>1.7942563223317616</v>
      </c>
      <c r="T7" s="4">
        <f>Table1[[#This Row],[Revenue]]-Table1[[#This Row],[Spend]]</f>
        <v>5559</v>
      </c>
      <c r="U7" s="4" t="str">
        <f>TEXT(Table1[[#This Row],[Date]],"MMM")</f>
        <v>Jan</v>
      </c>
      <c r="V7" s="4" t="str">
        <f>IF(Table1[[#This Row],[ROI (%)]]&gt;0,"Profitable","Loss-Making")</f>
        <v>Profitable</v>
      </c>
    </row>
    <row r="8" spans="1:22" x14ac:dyDescent="0.35">
      <c r="A8" s="1" t="s">
        <v>31</v>
      </c>
      <c r="B8" t="s">
        <v>11</v>
      </c>
      <c r="C8" t="s">
        <v>32</v>
      </c>
      <c r="D8" s="2">
        <v>6882</v>
      </c>
      <c r="E8">
        <v>52471</v>
      </c>
      <c r="F8">
        <v>4520</v>
      </c>
      <c r="G8">
        <v>982</v>
      </c>
      <c r="H8">
        <v>249</v>
      </c>
      <c r="I8" s="2">
        <v>46563</v>
      </c>
      <c r="J8" t="s">
        <v>33</v>
      </c>
      <c r="K8" s="3">
        <f>IFERROR(Table1[[#This Row],[Clicks]]/Table1[[#This Row],[Impressions]],0)</f>
        <v>8.6142821749156676E-2</v>
      </c>
      <c r="L8" s="3">
        <f>IFERROR(Table1[[#This Row],[Leads]]/Table1[[#This Row],[Clicks]],0)</f>
        <v>0.21725663716814159</v>
      </c>
      <c r="M8" s="3">
        <f>IFERROR(Table1[[#This Row],[Conversions]]/Table1[[#This Row],[Leads]],0)</f>
        <v>0.25356415478615069</v>
      </c>
      <c r="N8" s="3">
        <f>IFERROR(Table1[[#This Row],[Conversions]]/Table1[[#This Row],[Impressions]],0)</f>
        <v>4.7454784547654892E-3</v>
      </c>
      <c r="O8" s="4">
        <f>IFERROR(Table1[[#This Row],[Spend]]/Table1[[#This Row],[Leads]],0)</f>
        <v>7.0081466395112013</v>
      </c>
      <c r="P8" s="4">
        <f>IFERROR(Table1[[#This Row],[Spend]]/Table1[[#This Row],[Conversions]],0)</f>
        <v>27.638554216867469</v>
      </c>
      <c r="Q8" s="4">
        <f>IFERROR(Table1[[#This Row],[Revenue]]/Table1[[#This Row],[Conversions]],0)</f>
        <v>187</v>
      </c>
      <c r="R8" s="3">
        <f>IFERROR((Table1[[#This Row],[Revenue]]-Table1[[#This Row],[Spend]])/Table1[[#This Row],[Spend]],0)</f>
        <v>5.7659110723626856</v>
      </c>
      <c r="S8" s="6">
        <f>IFERROR(Table1[[#This Row],[Revenue]]/Table1[[#This Row],[Spend]],0)</f>
        <v>6.7659110723626856</v>
      </c>
      <c r="T8" s="4">
        <f>Table1[[#This Row],[Revenue]]-Table1[[#This Row],[Spend]]</f>
        <v>39681</v>
      </c>
      <c r="U8" s="4" t="str">
        <f>TEXT(Table1[[#This Row],[Date]],"MMM")</f>
        <v>Jan</v>
      </c>
      <c r="V8" s="4" t="str">
        <f>IF(Table1[[#This Row],[ROI (%)]]&gt;0,"Profitable","Loss-Making")</f>
        <v>Profitable</v>
      </c>
    </row>
    <row r="9" spans="1:22" x14ac:dyDescent="0.35">
      <c r="A9" s="1" t="s">
        <v>34</v>
      </c>
      <c r="B9" t="s">
        <v>15</v>
      </c>
      <c r="C9" t="s">
        <v>35</v>
      </c>
      <c r="D9" s="2">
        <v>13000</v>
      </c>
      <c r="E9">
        <v>35987</v>
      </c>
      <c r="F9">
        <v>1755</v>
      </c>
      <c r="G9">
        <v>484</v>
      </c>
      <c r="H9">
        <v>54</v>
      </c>
      <c r="I9" s="2">
        <v>8856</v>
      </c>
      <c r="J9" t="s">
        <v>36</v>
      </c>
      <c r="K9" s="3">
        <f>IFERROR(Table1[[#This Row],[Clicks]]/Table1[[#This Row],[Impressions]],0)</f>
        <v>4.8767610526023283E-2</v>
      </c>
      <c r="L9" s="3">
        <f>IFERROR(Table1[[#This Row],[Leads]]/Table1[[#This Row],[Clicks]],0)</f>
        <v>0.27578347578347578</v>
      </c>
      <c r="M9" s="3">
        <f>IFERROR(Table1[[#This Row],[Conversions]]/Table1[[#This Row],[Leads]],0)</f>
        <v>0.1115702479338843</v>
      </c>
      <c r="N9" s="3">
        <f>IFERROR(Table1[[#This Row],[Conversions]]/Table1[[#This Row],[Impressions]],0)</f>
        <v>1.5005418623391781E-3</v>
      </c>
      <c r="O9" s="4">
        <f>IFERROR(Table1[[#This Row],[Spend]]/Table1[[#This Row],[Leads]],0)</f>
        <v>26.859504132231404</v>
      </c>
      <c r="P9" s="4">
        <f>IFERROR(Table1[[#This Row],[Spend]]/Table1[[#This Row],[Conversions]],0)</f>
        <v>240.74074074074073</v>
      </c>
      <c r="Q9" s="4">
        <f>IFERROR(Table1[[#This Row],[Revenue]]/Table1[[#This Row],[Conversions]],0)</f>
        <v>164</v>
      </c>
      <c r="R9" s="3">
        <f>IFERROR((Table1[[#This Row],[Revenue]]-Table1[[#This Row],[Spend]])/Table1[[#This Row],[Spend]],0)</f>
        <v>-0.31876923076923075</v>
      </c>
      <c r="S9" s="6">
        <f>IFERROR(Table1[[#This Row],[Revenue]]/Table1[[#This Row],[Spend]],0)</f>
        <v>0.6812307692307692</v>
      </c>
      <c r="T9" s="4">
        <f>Table1[[#This Row],[Revenue]]-Table1[[#This Row],[Spend]]</f>
        <v>-4144</v>
      </c>
      <c r="U9" s="4" t="str">
        <f>TEXT(Table1[[#This Row],[Date]],"MMM")</f>
        <v>Jan</v>
      </c>
      <c r="V9" s="4" t="str">
        <f>IF(Table1[[#This Row],[ROI (%)]]&gt;0,"Profitable","Loss-Making")</f>
        <v>Loss-Making</v>
      </c>
    </row>
    <row r="10" spans="1:22" x14ac:dyDescent="0.35">
      <c r="A10" s="1" t="s">
        <v>37</v>
      </c>
      <c r="B10" t="s">
        <v>15</v>
      </c>
      <c r="C10" t="s">
        <v>38</v>
      </c>
      <c r="D10" s="2">
        <v>11498</v>
      </c>
      <c r="E10">
        <v>32331</v>
      </c>
      <c r="F10">
        <v>2274</v>
      </c>
      <c r="G10">
        <v>500</v>
      </c>
      <c r="H10">
        <v>28</v>
      </c>
      <c r="I10" s="2">
        <v>4592</v>
      </c>
      <c r="J10" t="s">
        <v>39</v>
      </c>
      <c r="K10" s="3">
        <f>IFERROR(Table1[[#This Row],[Clicks]]/Table1[[#This Row],[Impressions]],0)</f>
        <v>7.0334972626890604E-2</v>
      </c>
      <c r="L10" s="3">
        <f>IFERROR(Table1[[#This Row],[Leads]]/Table1[[#This Row],[Clicks]],0)</f>
        <v>0.2198768689533861</v>
      </c>
      <c r="M10" s="3">
        <f>IFERROR(Table1[[#This Row],[Conversions]]/Table1[[#This Row],[Leads]],0)</f>
        <v>5.6000000000000001E-2</v>
      </c>
      <c r="N10" s="3">
        <f>IFERROR(Table1[[#This Row],[Conversions]]/Table1[[#This Row],[Impressions]],0)</f>
        <v>8.6604187931087814E-4</v>
      </c>
      <c r="O10" s="4">
        <f>IFERROR(Table1[[#This Row],[Spend]]/Table1[[#This Row],[Leads]],0)</f>
        <v>22.995999999999999</v>
      </c>
      <c r="P10" s="4">
        <f>IFERROR(Table1[[#This Row],[Spend]]/Table1[[#This Row],[Conversions]],0)</f>
        <v>410.64285714285717</v>
      </c>
      <c r="Q10" s="4">
        <f>IFERROR(Table1[[#This Row],[Revenue]]/Table1[[#This Row],[Conversions]],0)</f>
        <v>164</v>
      </c>
      <c r="R10" s="3">
        <f>IFERROR((Table1[[#This Row],[Revenue]]-Table1[[#This Row],[Spend]])/Table1[[#This Row],[Spend]],0)</f>
        <v>-0.60062619586014954</v>
      </c>
      <c r="S10" s="6">
        <f>IFERROR(Table1[[#This Row],[Revenue]]/Table1[[#This Row],[Spend]],0)</f>
        <v>0.39937380413985041</v>
      </c>
      <c r="T10" s="4">
        <f>Table1[[#This Row],[Revenue]]-Table1[[#This Row],[Spend]]</f>
        <v>-6906</v>
      </c>
      <c r="U10" s="4" t="str">
        <f>TEXT(Table1[[#This Row],[Date]],"MMM")</f>
        <v>Jan</v>
      </c>
      <c r="V10" s="4" t="str">
        <f>IF(Table1[[#This Row],[ROI (%)]]&gt;0,"Profitable","Loss-Making")</f>
        <v>Loss-Making</v>
      </c>
    </row>
    <row r="11" spans="1:22" x14ac:dyDescent="0.35">
      <c r="A11" s="1" t="s">
        <v>40</v>
      </c>
      <c r="B11" t="s">
        <v>15</v>
      </c>
      <c r="C11" t="s">
        <v>41</v>
      </c>
      <c r="D11" s="2">
        <v>12440</v>
      </c>
      <c r="E11">
        <v>36714</v>
      </c>
      <c r="F11">
        <v>2714</v>
      </c>
      <c r="G11">
        <v>241</v>
      </c>
      <c r="H11">
        <v>52</v>
      </c>
      <c r="I11" s="2">
        <v>10140</v>
      </c>
      <c r="J11" t="s">
        <v>42</v>
      </c>
      <c r="K11" s="3">
        <f>IFERROR(Table1[[#This Row],[Clicks]]/Table1[[#This Row],[Impressions]],0)</f>
        <v>7.392275426267908E-2</v>
      </c>
      <c r="L11" s="3">
        <f>IFERROR(Table1[[#This Row],[Leads]]/Table1[[#This Row],[Clicks]],0)</f>
        <v>8.879882092851879E-2</v>
      </c>
      <c r="M11" s="3">
        <f>IFERROR(Table1[[#This Row],[Conversions]]/Table1[[#This Row],[Leads]],0)</f>
        <v>0.21576763485477179</v>
      </c>
      <c r="N11" s="3">
        <f>IFERROR(Table1[[#This Row],[Conversions]]/Table1[[#This Row],[Impressions]],0)</f>
        <v>1.416353434657079E-3</v>
      </c>
      <c r="O11" s="4">
        <f>IFERROR(Table1[[#This Row],[Spend]]/Table1[[#This Row],[Leads]],0)</f>
        <v>51.61825726141079</v>
      </c>
      <c r="P11" s="4">
        <f>IFERROR(Table1[[#This Row],[Spend]]/Table1[[#This Row],[Conversions]],0)</f>
        <v>239.23076923076923</v>
      </c>
      <c r="Q11" s="4">
        <f>IFERROR(Table1[[#This Row],[Revenue]]/Table1[[#This Row],[Conversions]],0)</f>
        <v>195</v>
      </c>
      <c r="R11" s="3">
        <f>IFERROR((Table1[[#This Row],[Revenue]]-Table1[[#This Row],[Spend]])/Table1[[#This Row],[Spend]],0)</f>
        <v>-0.18488745980707397</v>
      </c>
      <c r="S11" s="6">
        <f>IFERROR(Table1[[#This Row],[Revenue]]/Table1[[#This Row],[Spend]],0)</f>
        <v>0.81511254019292601</v>
      </c>
      <c r="T11" s="4">
        <f>Table1[[#This Row],[Revenue]]-Table1[[#This Row],[Spend]]</f>
        <v>-2300</v>
      </c>
      <c r="U11" s="4" t="str">
        <f>TEXT(Table1[[#This Row],[Date]],"MMM")</f>
        <v>Jan</v>
      </c>
      <c r="V11" s="4" t="str">
        <f>IF(Table1[[#This Row],[ROI (%)]]&gt;0,"Profitable","Loss-Making")</f>
        <v>Loss-Making</v>
      </c>
    </row>
    <row r="12" spans="1:22" x14ac:dyDescent="0.35">
      <c r="A12" s="1" t="s">
        <v>43</v>
      </c>
      <c r="B12" t="s">
        <v>15</v>
      </c>
      <c r="C12" t="s">
        <v>44</v>
      </c>
      <c r="D12" s="2">
        <v>10626</v>
      </c>
      <c r="E12">
        <v>30489</v>
      </c>
      <c r="F12">
        <v>2962</v>
      </c>
      <c r="G12">
        <v>242</v>
      </c>
      <c r="H12">
        <v>42</v>
      </c>
      <c r="I12" s="2">
        <v>8106</v>
      </c>
      <c r="J12" t="s">
        <v>45</v>
      </c>
      <c r="K12" s="3">
        <f>IFERROR(Table1[[#This Row],[Clicks]]/Table1[[#This Row],[Impressions]],0)</f>
        <v>9.714979172816425E-2</v>
      </c>
      <c r="L12" s="3">
        <f>IFERROR(Table1[[#This Row],[Leads]]/Table1[[#This Row],[Clicks]],0)</f>
        <v>8.1701553004726535E-2</v>
      </c>
      <c r="M12" s="3">
        <f>IFERROR(Table1[[#This Row],[Conversions]]/Table1[[#This Row],[Leads]],0)</f>
        <v>0.17355371900826447</v>
      </c>
      <c r="N12" s="3">
        <f>IFERROR(Table1[[#This Row],[Conversions]]/Table1[[#This Row],[Impressions]],0)</f>
        <v>1.3775460001967923E-3</v>
      </c>
      <c r="O12" s="4">
        <f>IFERROR(Table1[[#This Row],[Spend]]/Table1[[#This Row],[Leads]],0)</f>
        <v>43.909090909090907</v>
      </c>
      <c r="P12" s="4">
        <f>IFERROR(Table1[[#This Row],[Spend]]/Table1[[#This Row],[Conversions]],0)</f>
        <v>253</v>
      </c>
      <c r="Q12" s="4">
        <f>IFERROR(Table1[[#This Row],[Revenue]]/Table1[[#This Row],[Conversions]],0)</f>
        <v>193</v>
      </c>
      <c r="R12" s="3">
        <f>IFERROR((Table1[[#This Row],[Revenue]]-Table1[[#This Row],[Spend]])/Table1[[#This Row],[Spend]],0)</f>
        <v>-0.23715415019762845</v>
      </c>
      <c r="S12" s="6">
        <f>IFERROR(Table1[[#This Row],[Revenue]]/Table1[[#This Row],[Spend]],0)</f>
        <v>0.76284584980237158</v>
      </c>
      <c r="T12" s="4">
        <f>Table1[[#This Row],[Revenue]]-Table1[[#This Row],[Spend]]</f>
        <v>-2520</v>
      </c>
      <c r="U12" s="4" t="str">
        <f>TEXT(Table1[[#This Row],[Date]],"MMM")</f>
        <v>Jan</v>
      </c>
      <c r="V12" s="4" t="str">
        <f>IF(Table1[[#This Row],[ROI (%)]]&gt;0,"Profitable","Loss-Making")</f>
        <v>Loss-Making</v>
      </c>
    </row>
    <row r="13" spans="1:22" x14ac:dyDescent="0.35">
      <c r="A13" s="1" t="s">
        <v>46</v>
      </c>
      <c r="B13" t="s">
        <v>15</v>
      </c>
      <c r="C13" t="s">
        <v>47</v>
      </c>
      <c r="D13" s="2">
        <v>10245</v>
      </c>
      <c r="E13">
        <v>29521</v>
      </c>
      <c r="F13">
        <v>2703</v>
      </c>
      <c r="G13">
        <v>473</v>
      </c>
      <c r="H13">
        <v>22</v>
      </c>
      <c r="I13" s="2">
        <v>3366</v>
      </c>
      <c r="J13" t="s">
        <v>48</v>
      </c>
      <c r="K13" s="3">
        <f>IFERROR(Table1[[#This Row],[Clicks]]/Table1[[#This Row],[Impressions]],0)</f>
        <v>9.1561938958707359E-2</v>
      </c>
      <c r="L13" s="3">
        <f>IFERROR(Table1[[#This Row],[Leads]]/Table1[[#This Row],[Clicks]],0)</f>
        <v>0.17499075101738809</v>
      </c>
      <c r="M13" s="3">
        <f>IFERROR(Table1[[#This Row],[Conversions]]/Table1[[#This Row],[Leads]],0)</f>
        <v>4.6511627906976744E-2</v>
      </c>
      <c r="N13" s="3">
        <f>IFERROR(Table1[[#This Row],[Conversions]]/Table1[[#This Row],[Impressions]],0)</f>
        <v>7.4523220758104401E-4</v>
      </c>
      <c r="O13" s="4">
        <f>IFERROR(Table1[[#This Row],[Spend]]/Table1[[#This Row],[Leads]],0)</f>
        <v>21.659619450317123</v>
      </c>
      <c r="P13" s="4">
        <f>IFERROR(Table1[[#This Row],[Spend]]/Table1[[#This Row],[Conversions]],0)</f>
        <v>465.68181818181819</v>
      </c>
      <c r="Q13" s="4">
        <f>IFERROR(Table1[[#This Row],[Revenue]]/Table1[[#This Row],[Conversions]],0)</f>
        <v>153</v>
      </c>
      <c r="R13" s="3">
        <f>IFERROR((Table1[[#This Row],[Revenue]]-Table1[[#This Row],[Spend]])/Table1[[#This Row],[Spend]],0)</f>
        <v>-0.67144948755490486</v>
      </c>
      <c r="S13" s="6">
        <f>IFERROR(Table1[[#This Row],[Revenue]]/Table1[[#This Row],[Spend]],0)</f>
        <v>0.32855051244509514</v>
      </c>
      <c r="T13" s="4">
        <f>Table1[[#This Row],[Revenue]]-Table1[[#This Row],[Spend]]</f>
        <v>-6879</v>
      </c>
      <c r="U13" s="4" t="str">
        <f>TEXT(Table1[[#This Row],[Date]],"MMM")</f>
        <v>Jan</v>
      </c>
      <c r="V13" s="4" t="str">
        <f>IF(Table1[[#This Row],[ROI (%)]]&gt;0,"Profitable","Loss-Making")</f>
        <v>Loss-Making</v>
      </c>
    </row>
    <row r="14" spans="1:22" x14ac:dyDescent="0.35">
      <c r="A14" s="1" t="s">
        <v>49</v>
      </c>
      <c r="B14" t="s">
        <v>28</v>
      </c>
      <c r="C14" t="s">
        <v>50</v>
      </c>
      <c r="D14" s="2">
        <v>6372</v>
      </c>
      <c r="E14">
        <v>98481</v>
      </c>
      <c r="F14">
        <v>4358</v>
      </c>
      <c r="G14">
        <v>1121</v>
      </c>
      <c r="H14">
        <v>69</v>
      </c>
      <c r="I14" s="2">
        <v>12075</v>
      </c>
      <c r="J14" t="s">
        <v>51</v>
      </c>
      <c r="K14" s="3">
        <f>IFERROR(Table1[[#This Row],[Clicks]]/Table1[[#This Row],[Impressions]],0)</f>
        <v>4.4252190777916554E-2</v>
      </c>
      <c r="L14" s="3">
        <f>IFERROR(Table1[[#This Row],[Leads]]/Table1[[#This Row],[Clicks]],0)</f>
        <v>0.25722808627810922</v>
      </c>
      <c r="M14" s="3">
        <f>IFERROR(Table1[[#This Row],[Conversions]]/Table1[[#This Row],[Leads]],0)</f>
        <v>6.1552185548617307E-2</v>
      </c>
      <c r="N14" s="3">
        <f>IFERROR(Table1[[#This Row],[Conversions]]/Table1[[#This Row],[Impressions]],0)</f>
        <v>7.0064276357876144E-4</v>
      </c>
      <c r="O14" s="4">
        <f>IFERROR(Table1[[#This Row],[Spend]]/Table1[[#This Row],[Leads]],0)</f>
        <v>5.6842105263157894</v>
      </c>
      <c r="P14" s="4">
        <f>IFERROR(Table1[[#This Row],[Spend]]/Table1[[#This Row],[Conversions]],0)</f>
        <v>92.347826086956516</v>
      </c>
      <c r="Q14" s="4">
        <f>IFERROR(Table1[[#This Row],[Revenue]]/Table1[[#This Row],[Conversions]],0)</f>
        <v>175</v>
      </c>
      <c r="R14" s="3">
        <f>IFERROR((Table1[[#This Row],[Revenue]]-Table1[[#This Row],[Spend]])/Table1[[#This Row],[Spend]],0)</f>
        <v>0.89500941619585683</v>
      </c>
      <c r="S14" s="6">
        <f>IFERROR(Table1[[#This Row],[Revenue]]/Table1[[#This Row],[Spend]],0)</f>
        <v>1.8950094161958568</v>
      </c>
      <c r="T14" s="4">
        <f>Table1[[#This Row],[Revenue]]-Table1[[#This Row],[Spend]]</f>
        <v>5703</v>
      </c>
      <c r="U14" s="4" t="str">
        <f>TEXT(Table1[[#This Row],[Date]],"MMM")</f>
        <v>Jan</v>
      </c>
      <c r="V14" s="4" t="str">
        <f>IF(Table1[[#This Row],[ROI (%)]]&gt;0,"Profitable","Loss-Making")</f>
        <v>Profitable</v>
      </c>
    </row>
    <row r="15" spans="1:22" x14ac:dyDescent="0.35">
      <c r="A15" s="1" t="s">
        <v>52</v>
      </c>
      <c r="B15" t="s">
        <v>11</v>
      </c>
      <c r="C15" t="s">
        <v>53</v>
      </c>
      <c r="D15" s="2">
        <v>4204</v>
      </c>
      <c r="E15">
        <v>59228</v>
      </c>
      <c r="F15">
        <v>3810</v>
      </c>
      <c r="G15">
        <v>749</v>
      </c>
      <c r="H15">
        <v>240</v>
      </c>
      <c r="I15" s="2">
        <v>55440</v>
      </c>
      <c r="J15" t="s">
        <v>54</v>
      </c>
      <c r="K15" s="3">
        <f>IFERROR(Table1[[#This Row],[Clicks]]/Table1[[#This Row],[Impressions]],0)</f>
        <v>6.4327682852704807E-2</v>
      </c>
      <c r="L15" s="3">
        <f>IFERROR(Table1[[#This Row],[Leads]]/Table1[[#This Row],[Clicks]],0)</f>
        <v>0.19658792650918636</v>
      </c>
      <c r="M15" s="3">
        <f>IFERROR(Table1[[#This Row],[Conversions]]/Table1[[#This Row],[Leads]],0)</f>
        <v>0.32042723631508679</v>
      </c>
      <c r="N15" s="3">
        <f>IFERROR(Table1[[#This Row],[Conversions]]/Table1[[#This Row],[Impressions]],0)</f>
        <v>4.0521375025325858E-3</v>
      </c>
      <c r="O15" s="4">
        <f>IFERROR(Table1[[#This Row],[Spend]]/Table1[[#This Row],[Leads]],0)</f>
        <v>5.6128170894526033</v>
      </c>
      <c r="P15" s="4">
        <f>IFERROR(Table1[[#This Row],[Spend]]/Table1[[#This Row],[Conversions]],0)</f>
        <v>17.516666666666666</v>
      </c>
      <c r="Q15" s="4">
        <f>IFERROR(Table1[[#This Row],[Revenue]]/Table1[[#This Row],[Conversions]],0)</f>
        <v>231</v>
      </c>
      <c r="R15" s="3">
        <f>IFERROR((Table1[[#This Row],[Revenue]]-Table1[[#This Row],[Spend]])/Table1[[#This Row],[Spend]],0)</f>
        <v>12.18744053282588</v>
      </c>
      <c r="S15" s="6">
        <f>IFERROR(Table1[[#This Row],[Revenue]]/Table1[[#This Row],[Spend]],0)</f>
        <v>13.18744053282588</v>
      </c>
      <c r="T15" s="4">
        <f>Table1[[#This Row],[Revenue]]-Table1[[#This Row],[Spend]]</f>
        <v>51236</v>
      </c>
      <c r="U15" s="4" t="str">
        <f>TEXT(Table1[[#This Row],[Date]],"MMM")</f>
        <v>Jan</v>
      </c>
      <c r="V15" s="4" t="str">
        <f>IF(Table1[[#This Row],[ROI (%)]]&gt;0,"Profitable","Loss-Making")</f>
        <v>Profitable</v>
      </c>
    </row>
    <row r="16" spans="1:22" x14ac:dyDescent="0.35">
      <c r="A16" s="1" t="s">
        <v>55</v>
      </c>
      <c r="B16" t="s">
        <v>15</v>
      </c>
      <c r="C16" t="s">
        <v>56</v>
      </c>
      <c r="D16" s="2">
        <v>10310</v>
      </c>
      <c r="E16">
        <v>30935</v>
      </c>
      <c r="F16">
        <v>2537</v>
      </c>
      <c r="G16">
        <v>497</v>
      </c>
      <c r="H16">
        <v>57</v>
      </c>
      <c r="I16" s="2">
        <v>12141</v>
      </c>
      <c r="J16" t="s">
        <v>57</v>
      </c>
      <c r="K16" s="3">
        <f>IFERROR(Table1[[#This Row],[Clicks]]/Table1[[#This Row],[Impressions]],0)</f>
        <v>8.2010667528689185E-2</v>
      </c>
      <c r="L16" s="3">
        <f>IFERROR(Table1[[#This Row],[Leads]]/Table1[[#This Row],[Clicks]],0)</f>
        <v>0.19590067008277492</v>
      </c>
      <c r="M16" s="3">
        <f>IFERROR(Table1[[#This Row],[Conversions]]/Table1[[#This Row],[Leads]],0)</f>
        <v>0.11468812877263582</v>
      </c>
      <c r="N16" s="3">
        <f>IFERROR(Table1[[#This Row],[Conversions]]/Table1[[#This Row],[Impressions]],0)</f>
        <v>1.8425731372232099E-3</v>
      </c>
      <c r="O16" s="4">
        <f>IFERROR(Table1[[#This Row],[Spend]]/Table1[[#This Row],[Leads]],0)</f>
        <v>20.74446680080483</v>
      </c>
      <c r="P16" s="4">
        <f>IFERROR(Table1[[#This Row],[Spend]]/Table1[[#This Row],[Conversions]],0)</f>
        <v>180.87719298245614</v>
      </c>
      <c r="Q16" s="4">
        <f>IFERROR(Table1[[#This Row],[Revenue]]/Table1[[#This Row],[Conversions]],0)</f>
        <v>213</v>
      </c>
      <c r="R16" s="3">
        <f>IFERROR((Table1[[#This Row],[Revenue]]-Table1[[#This Row],[Spend]])/Table1[[#This Row],[Spend]],0)</f>
        <v>0.1775945683802134</v>
      </c>
      <c r="S16" s="6">
        <f>IFERROR(Table1[[#This Row],[Revenue]]/Table1[[#This Row],[Spend]],0)</f>
        <v>1.1775945683802134</v>
      </c>
      <c r="T16" s="4">
        <f>Table1[[#This Row],[Revenue]]-Table1[[#This Row],[Spend]]</f>
        <v>1831</v>
      </c>
      <c r="U16" s="4" t="str">
        <f>TEXT(Table1[[#This Row],[Date]],"MMM")</f>
        <v>Jan</v>
      </c>
      <c r="V16" s="4" t="str">
        <f>IF(Table1[[#This Row],[ROI (%)]]&gt;0,"Profitable","Loss-Making")</f>
        <v>Profitable</v>
      </c>
    </row>
    <row r="17" spans="1:22" x14ac:dyDescent="0.35">
      <c r="A17" s="1" t="s">
        <v>58</v>
      </c>
      <c r="B17" t="s">
        <v>11</v>
      </c>
      <c r="C17" t="s">
        <v>59</v>
      </c>
      <c r="D17" s="2">
        <v>4441</v>
      </c>
      <c r="E17">
        <v>48703</v>
      </c>
      <c r="F17">
        <v>3036</v>
      </c>
      <c r="G17">
        <v>986</v>
      </c>
      <c r="H17">
        <v>261</v>
      </c>
      <c r="I17" s="2">
        <v>48024</v>
      </c>
      <c r="J17" t="s">
        <v>60</v>
      </c>
      <c r="K17" s="3">
        <f>IFERROR(Table1[[#This Row],[Clicks]]/Table1[[#This Row],[Impressions]],0)</f>
        <v>6.2337022360018889E-2</v>
      </c>
      <c r="L17" s="3">
        <f>IFERROR(Table1[[#This Row],[Leads]]/Table1[[#This Row],[Clicks]],0)</f>
        <v>0.32476943346508563</v>
      </c>
      <c r="M17" s="3">
        <f>IFERROR(Table1[[#This Row],[Conversions]]/Table1[[#This Row],[Leads]],0)</f>
        <v>0.26470588235294118</v>
      </c>
      <c r="N17" s="3">
        <f>IFERROR(Table1[[#This Row],[Conversions]]/Table1[[#This Row],[Impressions]],0)</f>
        <v>5.3590127918198057E-3</v>
      </c>
      <c r="O17" s="4">
        <f>IFERROR(Table1[[#This Row],[Spend]]/Table1[[#This Row],[Leads]],0)</f>
        <v>4.504056795131846</v>
      </c>
      <c r="P17" s="4">
        <f>IFERROR(Table1[[#This Row],[Spend]]/Table1[[#This Row],[Conversions]],0)</f>
        <v>17.015325670498083</v>
      </c>
      <c r="Q17" s="4">
        <f>IFERROR(Table1[[#This Row],[Revenue]]/Table1[[#This Row],[Conversions]],0)</f>
        <v>184</v>
      </c>
      <c r="R17" s="3">
        <f>IFERROR((Table1[[#This Row],[Revenue]]-Table1[[#This Row],[Spend]])/Table1[[#This Row],[Spend]],0)</f>
        <v>9.8137806800270209</v>
      </c>
      <c r="S17" s="6">
        <f>IFERROR(Table1[[#This Row],[Revenue]]/Table1[[#This Row],[Spend]],0)</f>
        <v>10.813780680027021</v>
      </c>
      <c r="T17" s="4">
        <f>Table1[[#This Row],[Revenue]]-Table1[[#This Row],[Spend]]</f>
        <v>43583</v>
      </c>
      <c r="U17" s="4" t="str">
        <f>TEXT(Table1[[#This Row],[Date]],"MMM")</f>
        <v>Jan</v>
      </c>
      <c r="V17" s="4" t="str">
        <f>IF(Table1[[#This Row],[ROI (%)]]&gt;0,"Profitable","Loss-Making")</f>
        <v>Profitable</v>
      </c>
    </row>
    <row r="18" spans="1:22" x14ac:dyDescent="0.35">
      <c r="A18" s="1" t="s">
        <v>61</v>
      </c>
      <c r="B18" t="s">
        <v>28</v>
      </c>
      <c r="C18" t="s">
        <v>62</v>
      </c>
      <c r="D18" s="2">
        <v>7235</v>
      </c>
      <c r="E18">
        <v>76780</v>
      </c>
      <c r="F18">
        <v>5884</v>
      </c>
      <c r="G18">
        <v>1323</v>
      </c>
      <c r="H18">
        <v>92</v>
      </c>
      <c r="I18" s="2">
        <v>15824</v>
      </c>
      <c r="J18" t="s">
        <v>63</v>
      </c>
      <c r="K18" s="3">
        <f>IFERROR(Table1[[#This Row],[Clicks]]/Table1[[#This Row],[Impressions]],0)</f>
        <v>7.6634540244855429E-2</v>
      </c>
      <c r="L18" s="3">
        <f>IFERROR(Table1[[#This Row],[Leads]]/Table1[[#This Row],[Clicks]],0)</f>
        <v>0.22484704282800816</v>
      </c>
      <c r="M18" s="3">
        <f>IFERROR(Table1[[#This Row],[Conversions]]/Table1[[#This Row],[Leads]],0)</f>
        <v>6.9538926681783825E-2</v>
      </c>
      <c r="N18" s="3">
        <f>IFERROR(Table1[[#This Row],[Conversions]]/Table1[[#This Row],[Impressions]],0)</f>
        <v>1.1982287053920293E-3</v>
      </c>
      <c r="O18" s="4">
        <f>IFERROR(Table1[[#This Row],[Spend]]/Table1[[#This Row],[Leads]],0)</f>
        <v>5.4686318972033261</v>
      </c>
      <c r="P18" s="4">
        <f>IFERROR(Table1[[#This Row],[Spend]]/Table1[[#This Row],[Conversions]],0)</f>
        <v>78.641304347826093</v>
      </c>
      <c r="Q18" s="4">
        <f>IFERROR(Table1[[#This Row],[Revenue]]/Table1[[#This Row],[Conversions]],0)</f>
        <v>172</v>
      </c>
      <c r="R18" s="3">
        <f>IFERROR((Table1[[#This Row],[Revenue]]-Table1[[#This Row],[Spend]])/Table1[[#This Row],[Spend]],0)</f>
        <v>1.1871458189357291</v>
      </c>
      <c r="S18" s="6">
        <f>IFERROR(Table1[[#This Row],[Revenue]]/Table1[[#This Row],[Spend]],0)</f>
        <v>2.1871458189357291</v>
      </c>
      <c r="T18" s="4">
        <f>Table1[[#This Row],[Revenue]]-Table1[[#This Row],[Spend]]</f>
        <v>8589</v>
      </c>
      <c r="U18" s="4" t="str">
        <f>TEXT(Table1[[#This Row],[Date]],"MMM")</f>
        <v>Jan</v>
      </c>
      <c r="V18" s="4" t="str">
        <f>IF(Table1[[#This Row],[ROI (%)]]&gt;0,"Profitable","Loss-Making")</f>
        <v>Profitable</v>
      </c>
    </row>
    <row r="19" spans="1:22" x14ac:dyDescent="0.35">
      <c r="A19" s="1" t="s">
        <v>64</v>
      </c>
      <c r="B19" t="s">
        <v>28</v>
      </c>
      <c r="C19" t="s">
        <v>65</v>
      </c>
      <c r="D19" s="2">
        <v>7261</v>
      </c>
      <c r="E19">
        <v>74485</v>
      </c>
      <c r="F19">
        <v>4413</v>
      </c>
      <c r="G19">
        <v>1076</v>
      </c>
      <c r="H19">
        <v>92</v>
      </c>
      <c r="I19" s="2">
        <v>13984</v>
      </c>
      <c r="J19" t="s">
        <v>66</v>
      </c>
      <c r="K19" s="3">
        <f>IFERROR(Table1[[#This Row],[Clicks]]/Table1[[#This Row],[Impressions]],0)</f>
        <v>5.9246828220447072E-2</v>
      </c>
      <c r="L19" s="3">
        <f>IFERROR(Table1[[#This Row],[Leads]]/Table1[[#This Row],[Clicks]],0)</f>
        <v>0.24382506231588488</v>
      </c>
      <c r="M19" s="3">
        <f>IFERROR(Table1[[#This Row],[Conversions]]/Table1[[#This Row],[Leads]],0)</f>
        <v>8.5501858736059477E-2</v>
      </c>
      <c r="N19" s="3">
        <f>IFERROR(Table1[[#This Row],[Conversions]]/Table1[[#This Row],[Impressions]],0)</f>
        <v>1.2351480163791367E-3</v>
      </c>
      <c r="O19" s="4">
        <f>IFERROR(Table1[[#This Row],[Spend]]/Table1[[#This Row],[Leads]],0)</f>
        <v>6.7481412639405205</v>
      </c>
      <c r="P19" s="4">
        <f>IFERROR(Table1[[#This Row],[Spend]]/Table1[[#This Row],[Conversions]],0)</f>
        <v>78.923913043478265</v>
      </c>
      <c r="Q19" s="4">
        <f>IFERROR(Table1[[#This Row],[Revenue]]/Table1[[#This Row],[Conversions]],0)</f>
        <v>152</v>
      </c>
      <c r="R19" s="3">
        <f>IFERROR((Table1[[#This Row],[Revenue]]-Table1[[#This Row],[Spend]])/Table1[[#This Row],[Spend]],0)</f>
        <v>0.92590552265528159</v>
      </c>
      <c r="S19" s="6">
        <f>IFERROR(Table1[[#This Row],[Revenue]]/Table1[[#This Row],[Spend]],0)</f>
        <v>1.9259055226552817</v>
      </c>
      <c r="T19" s="4">
        <f>Table1[[#This Row],[Revenue]]-Table1[[#This Row],[Spend]]</f>
        <v>6723</v>
      </c>
      <c r="U19" s="4" t="str">
        <f>TEXT(Table1[[#This Row],[Date]],"MMM")</f>
        <v>Jan</v>
      </c>
      <c r="V19" s="4" t="str">
        <f>IF(Table1[[#This Row],[ROI (%)]]&gt;0,"Profitable","Loss-Making")</f>
        <v>Profitable</v>
      </c>
    </row>
    <row r="20" spans="1:22" x14ac:dyDescent="0.35">
      <c r="A20" s="1" t="s">
        <v>67</v>
      </c>
      <c r="B20" t="s">
        <v>11</v>
      </c>
      <c r="C20" t="s">
        <v>68</v>
      </c>
      <c r="D20" s="2">
        <v>4485</v>
      </c>
      <c r="E20">
        <v>69268</v>
      </c>
      <c r="F20">
        <v>4042</v>
      </c>
      <c r="G20">
        <v>900</v>
      </c>
      <c r="H20">
        <v>288</v>
      </c>
      <c r="I20" s="2">
        <v>57312</v>
      </c>
      <c r="J20" t="s">
        <v>69</v>
      </c>
      <c r="K20" s="3">
        <f>IFERROR(Table1[[#This Row],[Clicks]]/Table1[[#This Row],[Impressions]],0)</f>
        <v>5.8353063463648436E-2</v>
      </c>
      <c r="L20" s="3">
        <f>IFERROR(Table1[[#This Row],[Leads]]/Table1[[#This Row],[Clicks]],0)</f>
        <v>0.22266204849084612</v>
      </c>
      <c r="M20" s="3">
        <f>IFERROR(Table1[[#This Row],[Conversions]]/Table1[[#This Row],[Leads]],0)</f>
        <v>0.32</v>
      </c>
      <c r="N20" s="3">
        <f>IFERROR(Table1[[#This Row],[Conversions]]/Table1[[#This Row],[Impressions]],0)</f>
        <v>4.1577640468903393E-3</v>
      </c>
      <c r="O20" s="4">
        <f>IFERROR(Table1[[#This Row],[Spend]]/Table1[[#This Row],[Leads]],0)</f>
        <v>4.9833333333333334</v>
      </c>
      <c r="P20" s="4">
        <f>IFERROR(Table1[[#This Row],[Spend]]/Table1[[#This Row],[Conversions]],0)</f>
        <v>15.572916666666666</v>
      </c>
      <c r="Q20" s="4">
        <f>IFERROR(Table1[[#This Row],[Revenue]]/Table1[[#This Row],[Conversions]],0)</f>
        <v>199</v>
      </c>
      <c r="R20" s="3">
        <f>IFERROR((Table1[[#This Row],[Revenue]]-Table1[[#This Row],[Spend]])/Table1[[#This Row],[Spend]],0)</f>
        <v>11.778595317725753</v>
      </c>
      <c r="S20" s="6">
        <f>IFERROR(Table1[[#This Row],[Revenue]]/Table1[[#This Row],[Spend]],0)</f>
        <v>12.778595317725753</v>
      </c>
      <c r="T20" s="4">
        <f>Table1[[#This Row],[Revenue]]-Table1[[#This Row],[Spend]]</f>
        <v>52827</v>
      </c>
      <c r="U20" s="4" t="str">
        <f>TEXT(Table1[[#This Row],[Date]],"MMM")</f>
        <v>Jan</v>
      </c>
      <c r="V20" s="4" t="str">
        <f>IF(Table1[[#This Row],[ROI (%)]]&gt;0,"Profitable","Loss-Making")</f>
        <v>Profitable</v>
      </c>
    </row>
    <row r="21" spans="1:22" x14ac:dyDescent="0.35">
      <c r="A21" s="1" t="s">
        <v>70</v>
      </c>
      <c r="B21" t="s">
        <v>15</v>
      </c>
      <c r="C21" t="s">
        <v>71</v>
      </c>
      <c r="D21" s="2">
        <v>11337</v>
      </c>
      <c r="E21">
        <v>38696</v>
      </c>
      <c r="F21">
        <v>2247</v>
      </c>
      <c r="G21">
        <v>225</v>
      </c>
      <c r="H21">
        <v>55</v>
      </c>
      <c r="I21" s="2">
        <v>9460</v>
      </c>
      <c r="J21" t="s">
        <v>72</v>
      </c>
      <c r="K21" s="3">
        <f>IFERROR(Table1[[#This Row],[Clicks]]/Table1[[#This Row],[Impressions]],0)</f>
        <v>5.8068017366136038E-2</v>
      </c>
      <c r="L21" s="3">
        <f>IFERROR(Table1[[#This Row],[Leads]]/Table1[[#This Row],[Clicks]],0)</f>
        <v>0.10013351134846461</v>
      </c>
      <c r="M21" s="3">
        <f>IFERROR(Table1[[#This Row],[Conversions]]/Table1[[#This Row],[Leads]],0)</f>
        <v>0.24444444444444444</v>
      </c>
      <c r="N21" s="3">
        <f>IFERROR(Table1[[#This Row],[Conversions]]/Table1[[#This Row],[Impressions]],0)</f>
        <v>1.4213355385569568E-3</v>
      </c>
      <c r="O21" s="4">
        <f>IFERROR(Table1[[#This Row],[Spend]]/Table1[[#This Row],[Leads]],0)</f>
        <v>50.386666666666663</v>
      </c>
      <c r="P21" s="4">
        <f>IFERROR(Table1[[#This Row],[Spend]]/Table1[[#This Row],[Conversions]],0)</f>
        <v>206.12727272727273</v>
      </c>
      <c r="Q21" s="4">
        <f>IFERROR(Table1[[#This Row],[Revenue]]/Table1[[#This Row],[Conversions]],0)</f>
        <v>172</v>
      </c>
      <c r="R21" s="3">
        <f>IFERROR((Table1[[#This Row],[Revenue]]-Table1[[#This Row],[Spend]])/Table1[[#This Row],[Spend]],0)</f>
        <v>-0.1655640822086972</v>
      </c>
      <c r="S21" s="6">
        <f>IFERROR(Table1[[#This Row],[Revenue]]/Table1[[#This Row],[Spend]],0)</f>
        <v>0.83443591779130277</v>
      </c>
      <c r="T21" s="4">
        <f>Table1[[#This Row],[Revenue]]-Table1[[#This Row],[Spend]]</f>
        <v>-1877</v>
      </c>
      <c r="U21" s="4" t="str">
        <f>TEXT(Table1[[#This Row],[Date]],"MMM")</f>
        <v>Jan</v>
      </c>
      <c r="V21" s="4" t="str">
        <f>IF(Table1[[#This Row],[ROI (%)]]&gt;0,"Profitable","Loss-Making")</f>
        <v>Loss-Making</v>
      </c>
    </row>
    <row r="22" spans="1:22" x14ac:dyDescent="0.35">
      <c r="A22" s="1" t="s">
        <v>73</v>
      </c>
      <c r="B22" t="s">
        <v>11</v>
      </c>
      <c r="C22" t="s">
        <v>74</v>
      </c>
      <c r="D22" s="2">
        <v>5829</v>
      </c>
      <c r="E22">
        <v>52566</v>
      </c>
      <c r="F22">
        <v>4773</v>
      </c>
      <c r="G22">
        <v>976</v>
      </c>
      <c r="H22">
        <v>182</v>
      </c>
      <c r="I22" s="2">
        <v>34944</v>
      </c>
      <c r="J22" t="s">
        <v>75</v>
      </c>
      <c r="K22" s="3">
        <f>IFERROR(Table1[[#This Row],[Clicks]]/Table1[[#This Row],[Impressions]],0)</f>
        <v>9.0800136970665454E-2</v>
      </c>
      <c r="L22" s="3">
        <f>IFERROR(Table1[[#This Row],[Leads]]/Table1[[#This Row],[Clicks]],0)</f>
        <v>0.20448355332076262</v>
      </c>
      <c r="M22" s="3">
        <f>IFERROR(Table1[[#This Row],[Conversions]]/Table1[[#This Row],[Leads]],0)</f>
        <v>0.18647540983606559</v>
      </c>
      <c r="N22" s="3">
        <f>IFERROR(Table1[[#This Row],[Conversions]]/Table1[[#This Row],[Impressions]],0)</f>
        <v>3.4623140432979492E-3</v>
      </c>
      <c r="O22" s="4">
        <f>IFERROR(Table1[[#This Row],[Spend]]/Table1[[#This Row],[Leads]],0)</f>
        <v>5.9723360655737707</v>
      </c>
      <c r="P22" s="4">
        <f>IFERROR(Table1[[#This Row],[Spend]]/Table1[[#This Row],[Conversions]],0)</f>
        <v>32.027472527472526</v>
      </c>
      <c r="Q22" s="4">
        <f>IFERROR(Table1[[#This Row],[Revenue]]/Table1[[#This Row],[Conversions]],0)</f>
        <v>192</v>
      </c>
      <c r="R22" s="3">
        <f>IFERROR((Table1[[#This Row],[Revenue]]-Table1[[#This Row],[Spend]])/Table1[[#This Row],[Spend]],0)</f>
        <v>4.9948533196088523</v>
      </c>
      <c r="S22" s="6">
        <f>IFERROR(Table1[[#This Row],[Revenue]]/Table1[[#This Row],[Spend]],0)</f>
        <v>5.9948533196088523</v>
      </c>
      <c r="T22" s="4">
        <f>Table1[[#This Row],[Revenue]]-Table1[[#This Row],[Spend]]</f>
        <v>29115</v>
      </c>
      <c r="U22" s="4" t="str">
        <f>TEXT(Table1[[#This Row],[Date]],"MMM")</f>
        <v>Jan</v>
      </c>
      <c r="V22" s="4" t="str">
        <f>IF(Table1[[#This Row],[ROI (%)]]&gt;0,"Profitable","Loss-Making")</f>
        <v>Profitable</v>
      </c>
    </row>
    <row r="23" spans="1:22" x14ac:dyDescent="0.35">
      <c r="A23" s="1" t="s">
        <v>76</v>
      </c>
      <c r="B23" t="s">
        <v>28</v>
      </c>
      <c r="C23" t="s">
        <v>77</v>
      </c>
      <c r="D23" s="2">
        <v>8500</v>
      </c>
      <c r="E23">
        <v>97168</v>
      </c>
      <c r="F23">
        <v>4348</v>
      </c>
      <c r="G23">
        <v>1314</v>
      </c>
      <c r="H23">
        <v>85</v>
      </c>
      <c r="I23" s="2">
        <v>15215</v>
      </c>
      <c r="J23" t="s">
        <v>78</v>
      </c>
      <c r="K23" s="3">
        <f>IFERROR(Table1[[#This Row],[Clicks]]/Table1[[#This Row],[Impressions]],0)</f>
        <v>4.4747241890334265E-2</v>
      </c>
      <c r="L23" s="3">
        <f>IFERROR(Table1[[#This Row],[Leads]]/Table1[[#This Row],[Clicks]],0)</f>
        <v>0.30220791168353267</v>
      </c>
      <c r="M23" s="3">
        <f>IFERROR(Table1[[#This Row],[Conversions]]/Table1[[#This Row],[Leads]],0)</f>
        <v>6.4687975646879753E-2</v>
      </c>
      <c r="N23" s="3">
        <f>IFERROR(Table1[[#This Row],[Conversions]]/Table1[[#This Row],[Impressions]],0)</f>
        <v>8.7477358801251446E-4</v>
      </c>
      <c r="O23" s="4">
        <f>IFERROR(Table1[[#This Row],[Spend]]/Table1[[#This Row],[Leads]],0)</f>
        <v>6.4687975646879758</v>
      </c>
      <c r="P23" s="4">
        <f>IFERROR(Table1[[#This Row],[Spend]]/Table1[[#This Row],[Conversions]],0)</f>
        <v>100</v>
      </c>
      <c r="Q23" s="4">
        <f>IFERROR(Table1[[#This Row],[Revenue]]/Table1[[#This Row],[Conversions]],0)</f>
        <v>179</v>
      </c>
      <c r="R23" s="3">
        <f>IFERROR((Table1[[#This Row],[Revenue]]-Table1[[#This Row],[Spend]])/Table1[[#This Row],[Spend]],0)</f>
        <v>0.79</v>
      </c>
      <c r="S23" s="6">
        <f>IFERROR(Table1[[#This Row],[Revenue]]/Table1[[#This Row],[Spend]],0)</f>
        <v>1.79</v>
      </c>
      <c r="T23" s="4">
        <f>Table1[[#This Row],[Revenue]]-Table1[[#This Row],[Spend]]</f>
        <v>6715</v>
      </c>
      <c r="U23" s="4" t="str">
        <f>TEXT(Table1[[#This Row],[Date]],"MMM")</f>
        <v>Jan</v>
      </c>
      <c r="V23" s="4" t="str">
        <f>IF(Table1[[#This Row],[ROI (%)]]&gt;0,"Profitable","Loss-Making")</f>
        <v>Profitable</v>
      </c>
    </row>
    <row r="24" spans="1:22" x14ac:dyDescent="0.35">
      <c r="A24" s="1" t="s">
        <v>79</v>
      </c>
      <c r="B24" t="s">
        <v>28</v>
      </c>
      <c r="C24" t="s">
        <v>80</v>
      </c>
      <c r="D24" s="2">
        <v>6192</v>
      </c>
      <c r="E24">
        <v>96204</v>
      </c>
      <c r="F24">
        <v>4424</v>
      </c>
      <c r="G24">
        <v>1446</v>
      </c>
      <c r="H24">
        <v>75</v>
      </c>
      <c r="I24" s="2">
        <v>9450</v>
      </c>
      <c r="J24" t="s">
        <v>81</v>
      </c>
      <c r="K24" s="3">
        <f>IFERROR(Table1[[#This Row],[Clicks]]/Table1[[#This Row],[Impressions]],0)</f>
        <v>4.5985613903787782E-2</v>
      </c>
      <c r="L24" s="3">
        <f>IFERROR(Table1[[#This Row],[Leads]]/Table1[[#This Row],[Clicks]],0)</f>
        <v>0.32685352622061481</v>
      </c>
      <c r="M24" s="3">
        <f>IFERROR(Table1[[#This Row],[Conversions]]/Table1[[#This Row],[Leads]],0)</f>
        <v>5.1867219917012451E-2</v>
      </c>
      <c r="N24" s="3">
        <f>IFERROR(Table1[[#This Row],[Conversions]]/Table1[[#This Row],[Impressions]],0)</f>
        <v>7.795933641012848E-4</v>
      </c>
      <c r="O24" s="4">
        <f>IFERROR(Table1[[#This Row],[Spend]]/Table1[[#This Row],[Leads]],0)</f>
        <v>4.2821576763485476</v>
      </c>
      <c r="P24" s="4">
        <f>IFERROR(Table1[[#This Row],[Spend]]/Table1[[#This Row],[Conversions]],0)</f>
        <v>82.56</v>
      </c>
      <c r="Q24" s="4">
        <f>IFERROR(Table1[[#This Row],[Revenue]]/Table1[[#This Row],[Conversions]],0)</f>
        <v>126</v>
      </c>
      <c r="R24" s="3">
        <f>IFERROR((Table1[[#This Row],[Revenue]]-Table1[[#This Row],[Spend]])/Table1[[#This Row],[Spend]],0)</f>
        <v>0.52616279069767447</v>
      </c>
      <c r="S24" s="6">
        <f>IFERROR(Table1[[#This Row],[Revenue]]/Table1[[#This Row],[Spend]],0)</f>
        <v>1.5261627906976745</v>
      </c>
      <c r="T24" s="4">
        <f>Table1[[#This Row],[Revenue]]-Table1[[#This Row],[Spend]]</f>
        <v>3258</v>
      </c>
      <c r="U24" s="4" t="str">
        <f>TEXT(Table1[[#This Row],[Date]],"MMM")</f>
        <v>Jan</v>
      </c>
      <c r="V24" s="4" t="str">
        <f>IF(Table1[[#This Row],[ROI (%)]]&gt;0,"Profitable","Loss-Making")</f>
        <v>Profitable</v>
      </c>
    </row>
    <row r="25" spans="1:22" x14ac:dyDescent="0.35">
      <c r="A25" s="1" t="s">
        <v>82</v>
      </c>
      <c r="B25" t="s">
        <v>28</v>
      </c>
      <c r="C25" t="s">
        <v>83</v>
      </c>
      <c r="D25" s="2">
        <v>7153</v>
      </c>
      <c r="E25">
        <v>77618</v>
      </c>
      <c r="F25">
        <v>4965</v>
      </c>
      <c r="G25">
        <v>1254</v>
      </c>
      <c r="H25">
        <v>54</v>
      </c>
      <c r="I25" s="2">
        <v>9396</v>
      </c>
      <c r="J25" t="s">
        <v>84</v>
      </c>
      <c r="K25" s="3">
        <f>IFERROR(Table1[[#This Row],[Clicks]]/Table1[[#This Row],[Impressions]],0)</f>
        <v>6.396712102862738E-2</v>
      </c>
      <c r="L25" s="3">
        <f>IFERROR(Table1[[#This Row],[Leads]]/Table1[[#This Row],[Clicks]],0)</f>
        <v>0.25256797583081569</v>
      </c>
      <c r="M25" s="3">
        <f>IFERROR(Table1[[#This Row],[Conversions]]/Table1[[#This Row],[Leads]],0)</f>
        <v>4.3062200956937802E-2</v>
      </c>
      <c r="N25" s="3">
        <f>IFERROR(Table1[[#This Row],[Conversions]]/Table1[[#This Row],[Impressions]],0)</f>
        <v>6.9571491148960293E-4</v>
      </c>
      <c r="O25" s="4">
        <f>IFERROR(Table1[[#This Row],[Spend]]/Table1[[#This Row],[Leads]],0)</f>
        <v>5.7041467304625195</v>
      </c>
      <c r="P25" s="4">
        <f>IFERROR(Table1[[#This Row],[Spend]]/Table1[[#This Row],[Conversions]],0)</f>
        <v>132.46296296296296</v>
      </c>
      <c r="Q25" s="4">
        <f>IFERROR(Table1[[#This Row],[Revenue]]/Table1[[#This Row],[Conversions]],0)</f>
        <v>174</v>
      </c>
      <c r="R25" s="3">
        <f>IFERROR((Table1[[#This Row],[Revenue]]-Table1[[#This Row],[Spend]])/Table1[[#This Row],[Spend]],0)</f>
        <v>0.31357472389207325</v>
      </c>
      <c r="S25" s="6">
        <f>IFERROR(Table1[[#This Row],[Revenue]]/Table1[[#This Row],[Spend]],0)</f>
        <v>1.3135747238920732</v>
      </c>
      <c r="T25" s="4">
        <f>Table1[[#This Row],[Revenue]]-Table1[[#This Row],[Spend]]</f>
        <v>2243</v>
      </c>
      <c r="U25" s="4" t="str">
        <f>TEXT(Table1[[#This Row],[Date]],"MMM")</f>
        <v>Jan</v>
      </c>
      <c r="V25" s="4" t="str">
        <f>IF(Table1[[#This Row],[ROI (%)]]&gt;0,"Profitable","Loss-Making")</f>
        <v>Profitable</v>
      </c>
    </row>
    <row r="26" spans="1:22" x14ac:dyDescent="0.35">
      <c r="A26" s="1" t="s">
        <v>85</v>
      </c>
      <c r="B26" t="s">
        <v>15</v>
      </c>
      <c r="C26" t="s">
        <v>86</v>
      </c>
      <c r="D26" s="2">
        <v>10779</v>
      </c>
      <c r="E26">
        <v>31826</v>
      </c>
      <c r="F26">
        <v>1935</v>
      </c>
      <c r="G26">
        <v>315</v>
      </c>
      <c r="H26">
        <v>49</v>
      </c>
      <c r="I26" s="2">
        <v>8281</v>
      </c>
      <c r="J26" t="s">
        <v>87</v>
      </c>
      <c r="K26" s="3">
        <f>IFERROR(Table1[[#This Row],[Clicks]]/Table1[[#This Row],[Impressions]],0)</f>
        <v>6.0799346446301764E-2</v>
      </c>
      <c r="L26" s="3">
        <f>IFERROR(Table1[[#This Row],[Leads]]/Table1[[#This Row],[Clicks]],0)</f>
        <v>0.16279069767441862</v>
      </c>
      <c r="M26" s="3">
        <f>IFERROR(Table1[[#This Row],[Conversions]]/Table1[[#This Row],[Leads]],0)</f>
        <v>0.15555555555555556</v>
      </c>
      <c r="N26" s="3">
        <f>IFERROR(Table1[[#This Row],[Conversions]]/Table1[[#This Row],[Impressions]],0)</f>
        <v>1.5396216929554453E-3</v>
      </c>
      <c r="O26" s="4">
        <f>IFERROR(Table1[[#This Row],[Spend]]/Table1[[#This Row],[Leads]],0)</f>
        <v>34.219047619047622</v>
      </c>
      <c r="P26" s="4">
        <f>IFERROR(Table1[[#This Row],[Spend]]/Table1[[#This Row],[Conversions]],0)</f>
        <v>219.9795918367347</v>
      </c>
      <c r="Q26" s="4">
        <f>IFERROR(Table1[[#This Row],[Revenue]]/Table1[[#This Row],[Conversions]],0)</f>
        <v>169</v>
      </c>
      <c r="R26" s="3">
        <f>IFERROR((Table1[[#This Row],[Revenue]]-Table1[[#This Row],[Spend]])/Table1[[#This Row],[Spend]],0)</f>
        <v>-0.23174691529826513</v>
      </c>
      <c r="S26" s="6">
        <f>IFERROR(Table1[[#This Row],[Revenue]]/Table1[[#This Row],[Spend]],0)</f>
        <v>0.76825308470173481</v>
      </c>
      <c r="T26" s="4">
        <f>Table1[[#This Row],[Revenue]]-Table1[[#This Row],[Spend]]</f>
        <v>-2498</v>
      </c>
      <c r="U26" s="4" t="str">
        <f>TEXT(Table1[[#This Row],[Date]],"MMM")</f>
        <v>Jan</v>
      </c>
      <c r="V26" s="4" t="str">
        <f>IF(Table1[[#This Row],[ROI (%)]]&gt;0,"Profitable","Loss-Making")</f>
        <v>Loss-Making</v>
      </c>
    </row>
    <row r="27" spans="1:22" x14ac:dyDescent="0.35">
      <c r="A27" s="1" t="s">
        <v>88</v>
      </c>
      <c r="B27" t="s">
        <v>11</v>
      </c>
      <c r="C27" t="s">
        <v>89</v>
      </c>
      <c r="D27" s="2">
        <v>5790</v>
      </c>
      <c r="E27">
        <v>55717</v>
      </c>
      <c r="F27">
        <v>3184</v>
      </c>
      <c r="G27">
        <v>780</v>
      </c>
      <c r="H27">
        <v>270</v>
      </c>
      <c r="I27" s="2">
        <v>51570</v>
      </c>
      <c r="J27" t="s">
        <v>90</v>
      </c>
      <c r="K27" s="3">
        <f>IFERROR(Table1[[#This Row],[Clicks]]/Table1[[#This Row],[Impressions]],0)</f>
        <v>5.714593391603999E-2</v>
      </c>
      <c r="L27" s="3">
        <f>IFERROR(Table1[[#This Row],[Leads]]/Table1[[#This Row],[Clicks]],0)</f>
        <v>0.2449748743718593</v>
      </c>
      <c r="M27" s="3">
        <f>IFERROR(Table1[[#This Row],[Conversions]]/Table1[[#This Row],[Leads]],0)</f>
        <v>0.34615384615384615</v>
      </c>
      <c r="N27" s="3">
        <f>IFERROR(Table1[[#This Row],[Conversions]]/Table1[[#This Row],[Impressions]],0)</f>
        <v>4.8459177629807774E-3</v>
      </c>
      <c r="O27" s="4">
        <f>IFERROR(Table1[[#This Row],[Spend]]/Table1[[#This Row],[Leads]],0)</f>
        <v>7.4230769230769234</v>
      </c>
      <c r="P27" s="4">
        <f>IFERROR(Table1[[#This Row],[Spend]]/Table1[[#This Row],[Conversions]],0)</f>
        <v>21.444444444444443</v>
      </c>
      <c r="Q27" s="4">
        <f>IFERROR(Table1[[#This Row],[Revenue]]/Table1[[#This Row],[Conversions]],0)</f>
        <v>191</v>
      </c>
      <c r="R27" s="3">
        <f>IFERROR((Table1[[#This Row],[Revenue]]-Table1[[#This Row],[Spend]])/Table1[[#This Row],[Spend]],0)</f>
        <v>7.9067357512953365</v>
      </c>
      <c r="S27" s="6">
        <f>IFERROR(Table1[[#This Row],[Revenue]]/Table1[[#This Row],[Spend]],0)</f>
        <v>8.9067357512953365</v>
      </c>
      <c r="T27" s="4">
        <f>Table1[[#This Row],[Revenue]]-Table1[[#This Row],[Spend]]</f>
        <v>45780</v>
      </c>
      <c r="U27" s="4" t="str">
        <f>TEXT(Table1[[#This Row],[Date]],"MMM")</f>
        <v>Jan</v>
      </c>
      <c r="V27" s="4" t="str">
        <f>IF(Table1[[#This Row],[ROI (%)]]&gt;0,"Profitable","Loss-Making")</f>
        <v>Profitable</v>
      </c>
    </row>
    <row r="28" spans="1:22" x14ac:dyDescent="0.35">
      <c r="A28" s="1" t="s">
        <v>91</v>
      </c>
      <c r="B28" t="s">
        <v>11</v>
      </c>
      <c r="C28" t="s">
        <v>92</v>
      </c>
      <c r="D28" s="2">
        <v>6275</v>
      </c>
      <c r="E28">
        <v>63189</v>
      </c>
      <c r="F28">
        <v>4748</v>
      </c>
      <c r="G28">
        <v>805</v>
      </c>
      <c r="H28">
        <v>256</v>
      </c>
      <c r="I28" s="2">
        <v>63488</v>
      </c>
      <c r="J28" t="s">
        <v>93</v>
      </c>
      <c r="K28" s="3">
        <f>IFERROR(Table1[[#This Row],[Clicks]]/Table1[[#This Row],[Impressions]],0)</f>
        <v>7.5139660383927581E-2</v>
      </c>
      <c r="L28" s="3">
        <f>IFERROR(Table1[[#This Row],[Leads]]/Table1[[#This Row],[Clicks]],0)</f>
        <v>0.16954507160909857</v>
      </c>
      <c r="M28" s="3">
        <f>IFERROR(Table1[[#This Row],[Conversions]]/Table1[[#This Row],[Leads]],0)</f>
        <v>0.31801242236024846</v>
      </c>
      <c r="N28" s="3">
        <f>IFERROR(Table1[[#This Row],[Conversions]]/Table1[[#This Row],[Impressions]],0)</f>
        <v>4.0513380493440313E-3</v>
      </c>
      <c r="O28" s="4">
        <f>IFERROR(Table1[[#This Row],[Spend]]/Table1[[#This Row],[Leads]],0)</f>
        <v>7.7950310559006208</v>
      </c>
      <c r="P28" s="4">
        <f>IFERROR(Table1[[#This Row],[Spend]]/Table1[[#This Row],[Conversions]],0)</f>
        <v>24.51171875</v>
      </c>
      <c r="Q28" s="4">
        <f>IFERROR(Table1[[#This Row],[Revenue]]/Table1[[#This Row],[Conversions]],0)</f>
        <v>248</v>
      </c>
      <c r="R28" s="3">
        <f>IFERROR((Table1[[#This Row],[Revenue]]-Table1[[#This Row],[Spend]])/Table1[[#This Row],[Spend]],0)</f>
        <v>9.1176095617529889</v>
      </c>
      <c r="S28" s="6">
        <f>IFERROR(Table1[[#This Row],[Revenue]]/Table1[[#This Row],[Spend]],0)</f>
        <v>10.117609561752989</v>
      </c>
      <c r="T28" s="4">
        <f>Table1[[#This Row],[Revenue]]-Table1[[#This Row],[Spend]]</f>
        <v>57213</v>
      </c>
      <c r="U28" s="4" t="str">
        <f>TEXT(Table1[[#This Row],[Date]],"MMM")</f>
        <v>Jan</v>
      </c>
      <c r="V28" s="4" t="str">
        <f>IF(Table1[[#This Row],[ROI (%)]]&gt;0,"Profitable","Loss-Making")</f>
        <v>Profitable</v>
      </c>
    </row>
    <row r="29" spans="1:22" x14ac:dyDescent="0.35">
      <c r="A29" s="1" t="s">
        <v>94</v>
      </c>
      <c r="B29" t="s">
        <v>28</v>
      </c>
      <c r="C29" t="s">
        <v>95</v>
      </c>
      <c r="D29" s="2">
        <v>8214</v>
      </c>
      <c r="E29">
        <v>78356</v>
      </c>
      <c r="F29">
        <v>5483</v>
      </c>
      <c r="G29">
        <v>1413</v>
      </c>
      <c r="H29">
        <v>55</v>
      </c>
      <c r="I29" s="2">
        <v>8635</v>
      </c>
      <c r="J29" t="s">
        <v>96</v>
      </c>
      <c r="K29" s="3">
        <f>IFERROR(Table1[[#This Row],[Clicks]]/Table1[[#This Row],[Impressions]],0)</f>
        <v>6.997549645209046E-2</v>
      </c>
      <c r="L29" s="3">
        <f>IFERROR(Table1[[#This Row],[Leads]]/Table1[[#This Row],[Clicks]],0)</f>
        <v>0.25770563560094839</v>
      </c>
      <c r="M29" s="3">
        <f>IFERROR(Table1[[#This Row],[Conversions]]/Table1[[#This Row],[Leads]],0)</f>
        <v>3.8924274593064405E-2</v>
      </c>
      <c r="N29" s="3">
        <f>IFERROR(Table1[[#This Row],[Conversions]]/Table1[[#This Row],[Impressions]],0)</f>
        <v>7.0192454949206192E-4</v>
      </c>
      <c r="O29" s="4">
        <f>IFERROR(Table1[[#This Row],[Spend]]/Table1[[#This Row],[Leads]],0)</f>
        <v>5.8131634819532909</v>
      </c>
      <c r="P29" s="4">
        <f>IFERROR(Table1[[#This Row],[Spend]]/Table1[[#This Row],[Conversions]],0)</f>
        <v>149.34545454545454</v>
      </c>
      <c r="Q29" s="4">
        <f>IFERROR(Table1[[#This Row],[Revenue]]/Table1[[#This Row],[Conversions]],0)</f>
        <v>157</v>
      </c>
      <c r="R29" s="3">
        <f>IFERROR((Table1[[#This Row],[Revenue]]-Table1[[#This Row],[Spend]])/Table1[[#This Row],[Spend]],0)</f>
        <v>5.1253956659362068E-2</v>
      </c>
      <c r="S29" s="6">
        <f>IFERROR(Table1[[#This Row],[Revenue]]/Table1[[#This Row],[Spend]],0)</f>
        <v>1.0512539566593622</v>
      </c>
      <c r="T29" s="4">
        <f>Table1[[#This Row],[Revenue]]-Table1[[#This Row],[Spend]]</f>
        <v>421</v>
      </c>
      <c r="U29" s="4" t="str">
        <f>TEXT(Table1[[#This Row],[Date]],"MMM")</f>
        <v>Jan</v>
      </c>
      <c r="V29" s="4" t="str">
        <f>IF(Table1[[#This Row],[ROI (%)]]&gt;0,"Profitable","Loss-Making")</f>
        <v>Profitable</v>
      </c>
    </row>
    <row r="30" spans="1:22" x14ac:dyDescent="0.35">
      <c r="A30" s="1" t="s">
        <v>97</v>
      </c>
      <c r="B30" t="s">
        <v>11</v>
      </c>
      <c r="C30" t="s">
        <v>98</v>
      </c>
      <c r="D30" s="2">
        <v>6241</v>
      </c>
      <c r="E30">
        <v>58421</v>
      </c>
      <c r="F30">
        <v>3218</v>
      </c>
      <c r="G30">
        <v>801</v>
      </c>
      <c r="H30">
        <v>259</v>
      </c>
      <c r="I30" s="2">
        <v>53095</v>
      </c>
      <c r="J30" t="s">
        <v>99</v>
      </c>
      <c r="K30" s="3">
        <f>IFERROR(Table1[[#This Row],[Clicks]]/Table1[[#This Row],[Impressions]],0)</f>
        <v>5.5082932507146402E-2</v>
      </c>
      <c r="L30" s="3">
        <f>IFERROR(Table1[[#This Row],[Leads]]/Table1[[#This Row],[Clicks]],0)</f>
        <v>0.24891236793039154</v>
      </c>
      <c r="M30" s="3">
        <f>IFERROR(Table1[[#This Row],[Conversions]]/Table1[[#This Row],[Leads]],0)</f>
        <v>0.32334581772784021</v>
      </c>
      <c r="N30" s="3">
        <f>IFERROR(Table1[[#This Row],[Conversions]]/Table1[[#This Row],[Impressions]],0)</f>
        <v>4.4333373273309253E-3</v>
      </c>
      <c r="O30" s="4">
        <f>IFERROR(Table1[[#This Row],[Spend]]/Table1[[#This Row],[Leads]],0)</f>
        <v>7.7915106117353305</v>
      </c>
      <c r="P30" s="4">
        <f>IFERROR(Table1[[#This Row],[Spend]]/Table1[[#This Row],[Conversions]],0)</f>
        <v>24.096525096525095</v>
      </c>
      <c r="Q30" s="4">
        <f>IFERROR(Table1[[#This Row],[Revenue]]/Table1[[#This Row],[Conversions]],0)</f>
        <v>205</v>
      </c>
      <c r="R30" s="3">
        <f>IFERROR((Table1[[#This Row],[Revenue]]-Table1[[#This Row],[Spend]])/Table1[[#This Row],[Spend]],0)</f>
        <v>7.5074507290498316</v>
      </c>
      <c r="S30" s="6">
        <f>IFERROR(Table1[[#This Row],[Revenue]]/Table1[[#This Row],[Spend]],0)</f>
        <v>8.5074507290498325</v>
      </c>
      <c r="T30" s="4">
        <f>Table1[[#This Row],[Revenue]]-Table1[[#This Row],[Spend]]</f>
        <v>46854</v>
      </c>
      <c r="U30" s="4" t="str">
        <f>TEXT(Table1[[#This Row],[Date]],"MMM")</f>
        <v>Jan</v>
      </c>
      <c r="V30" s="4" t="str">
        <f>IF(Table1[[#This Row],[ROI (%)]]&gt;0,"Profitable","Loss-Making")</f>
        <v>Profitable</v>
      </c>
    </row>
    <row r="31" spans="1:22" x14ac:dyDescent="0.35">
      <c r="A31" s="1" t="s">
        <v>100</v>
      </c>
      <c r="B31" t="s">
        <v>11</v>
      </c>
      <c r="C31" t="s">
        <v>101</v>
      </c>
      <c r="D31" s="2">
        <v>5947</v>
      </c>
      <c r="E31">
        <v>62038</v>
      </c>
      <c r="F31">
        <v>3302</v>
      </c>
      <c r="G31">
        <v>710</v>
      </c>
      <c r="H31">
        <v>193</v>
      </c>
      <c r="I31" s="2">
        <v>41495</v>
      </c>
      <c r="J31" t="s">
        <v>102</v>
      </c>
      <c r="K31" s="3">
        <f>IFERROR(Table1[[#This Row],[Clicks]]/Table1[[#This Row],[Impressions]],0)</f>
        <v>5.322544247074374E-2</v>
      </c>
      <c r="L31" s="3">
        <f>IFERROR(Table1[[#This Row],[Leads]]/Table1[[#This Row],[Clicks]],0)</f>
        <v>0.21502119927316779</v>
      </c>
      <c r="M31" s="3">
        <f>IFERROR(Table1[[#This Row],[Conversions]]/Table1[[#This Row],[Leads]],0)</f>
        <v>0.27183098591549298</v>
      </c>
      <c r="N31" s="3">
        <f>IFERROR(Table1[[#This Row],[Conversions]]/Table1[[#This Row],[Impressions]],0)</f>
        <v>3.1109964860246944E-3</v>
      </c>
      <c r="O31" s="4">
        <f>IFERROR(Table1[[#This Row],[Spend]]/Table1[[#This Row],[Leads]],0)</f>
        <v>8.3760563380281692</v>
      </c>
      <c r="P31" s="4">
        <f>IFERROR(Table1[[#This Row],[Spend]]/Table1[[#This Row],[Conversions]],0)</f>
        <v>30.813471502590673</v>
      </c>
      <c r="Q31" s="4">
        <f>IFERROR(Table1[[#This Row],[Revenue]]/Table1[[#This Row],[Conversions]],0)</f>
        <v>215</v>
      </c>
      <c r="R31" s="3">
        <f>IFERROR((Table1[[#This Row],[Revenue]]-Table1[[#This Row],[Spend]])/Table1[[#This Row],[Spend]],0)</f>
        <v>5.9774676307381878</v>
      </c>
      <c r="S31" s="6">
        <f>IFERROR(Table1[[#This Row],[Revenue]]/Table1[[#This Row],[Spend]],0)</f>
        <v>6.9774676307381878</v>
      </c>
      <c r="T31" s="4">
        <f>Table1[[#This Row],[Revenue]]-Table1[[#This Row],[Spend]]</f>
        <v>35548</v>
      </c>
      <c r="U31" s="4" t="str">
        <f>TEXT(Table1[[#This Row],[Date]],"MMM")</f>
        <v>Jan</v>
      </c>
      <c r="V31" s="4" t="str">
        <f>IF(Table1[[#This Row],[ROI (%)]]&gt;0,"Profitable","Loss-Making")</f>
        <v>Profitable</v>
      </c>
    </row>
    <row r="32" spans="1:22" x14ac:dyDescent="0.35">
      <c r="A32" s="1" t="s">
        <v>103</v>
      </c>
      <c r="B32" t="s">
        <v>15</v>
      </c>
      <c r="C32" t="s">
        <v>104</v>
      </c>
      <c r="D32" s="2">
        <v>13767</v>
      </c>
      <c r="E32">
        <v>32036</v>
      </c>
      <c r="F32">
        <v>2333</v>
      </c>
      <c r="G32">
        <v>406</v>
      </c>
      <c r="H32">
        <v>21</v>
      </c>
      <c r="I32" s="2">
        <v>3990</v>
      </c>
      <c r="J32" t="s">
        <v>105</v>
      </c>
      <c r="K32" s="3">
        <f>IFERROR(Table1[[#This Row],[Clicks]]/Table1[[#This Row],[Impressions]],0)</f>
        <v>7.282432263703334E-2</v>
      </c>
      <c r="L32" s="3">
        <f>IFERROR(Table1[[#This Row],[Leads]]/Table1[[#This Row],[Clicks]],0)</f>
        <v>0.17402486069438491</v>
      </c>
      <c r="M32" s="3">
        <f>IFERROR(Table1[[#This Row],[Conversions]]/Table1[[#This Row],[Leads]],0)</f>
        <v>5.1724137931034482E-2</v>
      </c>
      <c r="N32" s="3">
        <f>IFERROR(Table1[[#This Row],[Conversions]]/Table1[[#This Row],[Impressions]],0)</f>
        <v>6.5551254838306901E-4</v>
      </c>
      <c r="O32" s="4">
        <f>IFERROR(Table1[[#This Row],[Spend]]/Table1[[#This Row],[Leads]],0)</f>
        <v>33.908866995073893</v>
      </c>
      <c r="P32" s="4">
        <f>IFERROR(Table1[[#This Row],[Spend]]/Table1[[#This Row],[Conversions]],0)</f>
        <v>655.57142857142856</v>
      </c>
      <c r="Q32" s="4">
        <f>IFERROR(Table1[[#This Row],[Revenue]]/Table1[[#This Row],[Conversions]],0)</f>
        <v>190</v>
      </c>
      <c r="R32" s="3">
        <f>IFERROR((Table1[[#This Row],[Revenue]]-Table1[[#This Row],[Spend]])/Table1[[#This Row],[Spend]],0)</f>
        <v>-0.7101765090433646</v>
      </c>
      <c r="S32" s="6">
        <f>IFERROR(Table1[[#This Row],[Revenue]]/Table1[[#This Row],[Spend]],0)</f>
        <v>0.28982349095663545</v>
      </c>
      <c r="T32" s="4">
        <f>Table1[[#This Row],[Revenue]]-Table1[[#This Row],[Spend]]</f>
        <v>-9777</v>
      </c>
      <c r="U32" s="4" t="str">
        <f>TEXT(Table1[[#This Row],[Date]],"MMM")</f>
        <v>Jan</v>
      </c>
      <c r="V32" s="4" t="str">
        <f>IF(Table1[[#This Row],[ROI (%)]]&gt;0,"Profitable","Loss-Making")</f>
        <v>Loss-Making</v>
      </c>
    </row>
    <row r="33" spans="1:22" x14ac:dyDescent="0.35">
      <c r="A33" s="1" t="s">
        <v>106</v>
      </c>
      <c r="B33" t="s">
        <v>11</v>
      </c>
      <c r="C33" t="s">
        <v>107</v>
      </c>
      <c r="D33" s="2">
        <v>4523</v>
      </c>
      <c r="E33">
        <v>60953</v>
      </c>
      <c r="F33">
        <v>3393</v>
      </c>
      <c r="G33">
        <v>797</v>
      </c>
      <c r="H33">
        <v>291</v>
      </c>
      <c r="I33" s="2">
        <v>66348</v>
      </c>
      <c r="J33" t="s">
        <v>108</v>
      </c>
      <c r="K33" s="3">
        <f>IFERROR(Table1[[#This Row],[Clicks]]/Table1[[#This Row],[Impressions]],0)</f>
        <v>5.5665840893803421E-2</v>
      </c>
      <c r="L33" s="3">
        <f>IFERROR(Table1[[#This Row],[Leads]]/Table1[[#This Row],[Clicks]],0)</f>
        <v>0.23489537282640732</v>
      </c>
      <c r="M33" s="3">
        <f>IFERROR(Table1[[#This Row],[Conversions]]/Table1[[#This Row],[Leads]],0)</f>
        <v>0.36511919698870765</v>
      </c>
      <c r="N33" s="3">
        <f>IFERROR(Table1[[#This Row],[Conversions]]/Table1[[#This Row],[Impressions]],0)</f>
        <v>4.7741702623332735E-3</v>
      </c>
      <c r="O33" s="4">
        <f>IFERROR(Table1[[#This Row],[Spend]]/Table1[[#This Row],[Leads]],0)</f>
        <v>5.6750313676286073</v>
      </c>
      <c r="P33" s="4">
        <f>IFERROR(Table1[[#This Row],[Spend]]/Table1[[#This Row],[Conversions]],0)</f>
        <v>15.542955326460481</v>
      </c>
      <c r="Q33" s="4">
        <f>IFERROR(Table1[[#This Row],[Revenue]]/Table1[[#This Row],[Conversions]],0)</f>
        <v>228</v>
      </c>
      <c r="R33" s="3">
        <f>IFERROR((Table1[[#This Row],[Revenue]]-Table1[[#This Row],[Spend]])/Table1[[#This Row],[Spend]],0)</f>
        <v>13.669024983418085</v>
      </c>
      <c r="S33" s="6">
        <f>IFERROR(Table1[[#This Row],[Revenue]]/Table1[[#This Row],[Spend]],0)</f>
        <v>14.669024983418085</v>
      </c>
      <c r="T33" s="4">
        <f>Table1[[#This Row],[Revenue]]-Table1[[#This Row],[Spend]]</f>
        <v>61825</v>
      </c>
      <c r="U33" s="4" t="str">
        <f>TEXT(Table1[[#This Row],[Date]],"MMM")</f>
        <v>Feb</v>
      </c>
      <c r="V33" s="4" t="str">
        <f>IF(Table1[[#This Row],[ROI (%)]]&gt;0,"Profitable","Loss-Making")</f>
        <v>Profitable</v>
      </c>
    </row>
    <row r="34" spans="1:22" x14ac:dyDescent="0.35">
      <c r="A34" s="1" t="s">
        <v>109</v>
      </c>
      <c r="B34" t="s">
        <v>11</v>
      </c>
      <c r="C34" t="s">
        <v>110</v>
      </c>
      <c r="D34" s="2">
        <v>5882</v>
      </c>
      <c r="E34">
        <v>62262</v>
      </c>
      <c r="F34">
        <v>4370</v>
      </c>
      <c r="G34">
        <v>938</v>
      </c>
      <c r="H34">
        <v>229</v>
      </c>
      <c r="I34" s="2">
        <v>47861</v>
      </c>
      <c r="J34" t="s">
        <v>111</v>
      </c>
      <c r="K34" s="3">
        <f>IFERROR(Table1[[#This Row],[Clicks]]/Table1[[#This Row],[Impressions]],0)</f>
        <v>7.0187273136102277E-2</v>
      </c>
      <c r="L34" s="3">
        <f>IFERROR(Table1[[#This Row],[Leads]]/Table1[[#This Row],[Clicks]],0)</f>
        <v>0.21464530892448513</v>
      </c>
      <c r="M34" s="3">
        <f>IFERROR(Table1[[#This Row],[Conversions]]/Table1[[#This Row],[Leads]],0)</f>
        <v>0.24413646055437099</v>
      </c>
      <c r="N34" s="3">
        <f>IFERROR(Table1[[#This Row],[Conversions]]/Table1[[#This Row],[Impressions]],0)</f>
        <v>3.6780058462625677E-3</v>
      </c>
      <c r="O34" s="4">
        <f>IFERROR(Table1[[#This Row],[Spend]]/Table1[[#This Row],[Leads]],0)</f>
        <v>6.270788912579957</v>
      </c>
      <c r="P34" s="4">
        <f>IFERROR(Table1[[#This Row],[Spend]]/Table1[[#This Row],[Conversions]],0)</f>
        <v>25.685589519650655</v>
      </c>
      <c r="Q34" s="4">
        <f>IFERROR(Table1[[#This Row],[Revenue]]/Table1[[#This Row],[Conversions]],0)</f>
        <v>209</v>
      </c>
      <c r="R34" s="3">
        <f>IFERROR((Table1[[#This Row],[Revenue]]-Table1[[#This Row],[Spend]])/Table1[[#This Row],[Spend]],0)</f>
        <v>7.1368582114926893</v>
      </c>
      <c r="S34" s="6">
        <f>IFERROR(Table1[[#This Row],[Revenue]]/Table1[[#This Row],[Spend]],0)</f>
        <v>8.1368582114926902</v>
      </c>
      <c r="T34" s="4">
        <f>Table1[[#This Row],[Revenue]]-Table1[[#This Row],[Spend]]</f>
        <v>41979</v>
      </c>
      <c r="U34" s="4" t="str">
        <f>TEXT(Table1[[#This Row],[Date]],"MMM")</f>
        <v>Feb</v>
      </c>
      <c r="V34" s="4" t="str">
        <f>IF(Table1[[#This Row],[ROI (%)]]&gt;0,"Profitable","Loss-Making")</f>
        <v>Profitable</v>
      </c>
    </row>
    <row r="35" spans="1:22" x14ac:dyDescent="0.35">
      <c r="A35" s="1" t="s">
        <v>112</v>
      </c>
      <c r="B35" t="s">
        <v>28</v>
      </c>
      <c r="C35" t="s">
        <v>113</v>
      </c>
      <c r="D35" s="2">
        <v>8202</v>
      </c>
      <c r="E35">
        <v>92836</v>
      </c>
      <c r="F35">
        <v>4507</v>
      </c>
      <c r="G35">
        <v>1357</v>
      </c>
      <c r="H35">
        <v>75</v>
      </c>
      <c r="I35" s="2">
        <v>12750</v>
      </c>
      <c r="J35" t="s">
        <v>114</v>
      </c>
      <c r="K35" s="3">
        <f>IFERROR(Table1[[#This Row],[Clicks]]/Table1[[#This Row],[Impressions]],0)</f>
        <v>4.8547977077857726E-2</v>
      </c>
      <c r="L35" s="3">
        <f>IFERROR(Table1[[#This Row],[Leads]]/Table1[[#This Row],[Clicks]],0)</f>
        <v>0.30108719769247838</v>
      </c>
      <c r="M35" s="3">
        <f>IFERROR(Table1[[#This Row],[Conversions]]/Table1[[#This Row],[Leads]],0)</f>
        <v>5.5268975681650699E-2</v>
      </c>
      <c r="N35" s="3">
        <f>IFERROR(Table1[[#This Row],[Conversions]]/Table1[[#This Row],[Impressions]],0)</f>
        <v>8.0787625490111596E-4</v>
      </c>
      <c r="O35" s="4">
        <f>IFERROR(Table1[[#This Row],[Spend]]/Table1[[#This Row],[Leads]],0)</f>
        <v>6.0442151805453204</v>
      </c>
      <c r="P35" s="4">
        <f>IFERROR(Table1[[#This Row],[Spend]]/Table1[[#This Row],[Conversions]],0)</f>
        <v>109.36</v>
      </c>
      <c r="Q35" s="4">
        <f>IFERROR(Table1[[#This Row],[Revenue]]/Table1[[#This Row],[Conversions]],0)</f>
        <v>170</v>
      </c>
      <c r="R35" s="3">
        <f>IFERROR((Table1[[#This Row],[Revenue]]-Table1[[#This Row],[Spend]])/Table1[[#This Row],[Spend]],0)</f>
        <v>0.55449890270665692</v>
      </c>
      <c r="S35" s="6">
        <f>IFERROR(Table1[[#This Row],[Revenue]]/Table1[[#This Row],[Spend]],0)</f>
        <v>1.5544989027066569</v>
      </c>
      <c r="T35" s="4">
        <f>Table1[[#This Row],[Revenue]]-Table1[[#This Row],[Spend]]</f>
        <v>4548</v>
      </c>
      <c r="U35" s="4" t="str">
        <f>TEXT(Table1[[#This Row],[Date]],"MMM")</f>
        <v>Feb</v>
      </c>
      <c r="V35" s="4" t="str">
        <f>IF(Table1[[#This Row],[ROI (%)]]&gt;0,"Profitable","Loss-Making")</f>
        <v>Profitable</v>
      </c>
    </row>
    <row r="36" spans="1:22" x14ac:dyDescent="0.35">
      <c r="A36" s="1" t="s">
        <v>115</v>
      </c>
      <c r="B36" t="s">
        <v>11</v>
      </c>
      <c r="C36" t="s">
        <v>116</v>
      </c>
      <c r="D36" s="2">
        <v>5106</v>
      </c>
      <c r="E36">
        <v>45631</v>
      </c>
      <c r="F36">
        <v>3873</v>
      </c>
      <c r="G36">
        <v>842</v>
      </c>
      <c r="H36">
        <v>229</v>
      </c>
      <c r="I36" s="2">
        <v>46716</v>
      </c>
      <c r="J36" t="s">
        <v>117</v>
      </c>
      <c r="K36" s="3">
        <f>IFERROR(Table1[[#This Row],[Clicks]]/Table1[[#This Row],[Impressions]],0)</f>
        <v>8.4876509390545904E-2</v>
      </c>
      <c r="L36" s="3">
        <f>IFERROR(Table1[[#This Row],[Leads]]/Table1[[#This Row],[Clicks]],0)</f>
        <v>0.21740253033823909</v>
      </c>
      <c r="M36" s="3">
        <f>IFERROR(Table1[[#This Row],[Conversions]]/Table1[[#This Row],[Leads]],0)</f>
        <v>0.27197149643705465</v>
      </c>
      <c r="N36" s="3">
        <f>IFERROR(Table1[[#This Row],[Conversions]]/Table1[[#This Row],[Impressions]],0)</f>
        <v>5.0185181126865507E-3</v>
      </c>
      <c r="O36" s="4">
        <f>IFERROR(Table1[[#This Row],[Spend]]/Table1[[#This Row],[Leads]],0)</f>
        <v>6.0641330166270784</v>
      </c>
      <c r="P36" s="4">
        <f>IFERROR(Table1[[#This Row],[Spend]]/Table1[[#This Row],[Conversions]],0)</f>
        <v>22.296943231441048</v>
      </c>
      <c r="Q36" s="4">
        <f>IFERROR(Table1[[#This Row],[Revenue]]/Table1[[#This Row],[Conversions]],0)</f>
        <v>204</v>
      </c>
      <c r="R36" s="3">
        <f>IFERROR((Table1[[#This Row],[Revenue]]-Table1[[#This Row],[Spend]])/Table1[[#This Row],[Spend]],0)</f>
        <v>8.1492361927144543</v>
      </c>
      <c r="S36" s="6">
        <f>IFERROR(Table1[[#This Row],[Revenue]]/Table1[[#This Row],[Spend]],0)</f>
        <v>9.1492361927144543</v>
      </c>
      <c r="T36" s="4">
        <f>Table1[[#This Row],[Revenue]]-Table1[[#This Row],[Spend]]</f>
        <v>41610</v>
      </c>
      <c r="U36" s="4" t="str">
        <f>TEXT(Table1[[#This Row],[Date]],"MMM")</f>
        <v>Feb</v>
      </c>
      <c r="V36" s="4" t="str">
        <f>IF(Table1[[#This Row],[ROI (%)]]&gt;0,"Profitable","Loss-Making")</f>
        <v>Profitable</v>
      </c>
    </row>
    <row r="37" spans="1:22" x14ac:dyDescent="0.35">
      <c r="A37" s="1" t="s">
        <v>118</v>
      </c>
      <c r="B37" t="s">
        <v>28</v>
      </c>
      <c r="C37" t="s">
        <v>119</v>
      </c>
      <c r="D37" s="2">
        <v>8113</v>
      </c>
      <c r="E37">
        <v>87954</v>
      </c>
      <c r="F37">
        <v>5595</v>
      </c>
      <c r="G37">
        <v>1430</v>
      </c>
      <c r="H37">
        <v>51</v>
      </c>
      <c r="I37" s="2">
        <v>8364</v>
      </c>
      <c r="J37" t="s">
        <v>120</v>
      </c>
      <c r="K37" s="3">
        <f>IFERROR(Table1[[#This Row],[Clicks]]/Table1[[#This Row],[Impressions]],0)</f>
        <v>6.3612797598744802E-2</v>
      </c>
      <c r="L37" s="3">
        <f>IFERROR(Table1[[#This Row],[Leads]]/Table1[[#This Row],[Clicks]],0)</f>
        <v>0.25558534405719391</v>
      </c>
      <c r="M37" s="3">
        <f>IFERROR(Table1[[#This Row],[Conversions]]/Table1[[#This Row],[Leads]],0)</f>
        <v>3.5664335664335661E-2</v>
      </c>
      <c r="N37" s="3">
        <f>IFERROR(Table1[[#This Row],[Conversions]]/Table1[[#This Row],[Impressions]],0)</f>
        <v>5.7984855720035475E-4</v>
      </c>
      <c r="O37" s="4">
        <f>IFERROR(Table1[[#This Row],[Spend]]/Table1[[#This Row],[Leads]],0)</f>
        <v>5.6734265734265739</v>
      </c>
      <c r="P37" s="4">
        <f>IFERROR(Table1[[#This Row],[Spend]]/Table1[[#This Row],[Conversions]],0)</f>
        <v>159.07843137254903</v>
      </c>
      <c r="Q37" s="4">
        <f>IFERROR(Table1[[#This Row],[Revenue]]/Table1[[#This Row],[Conversions]],0)</f>
        <v>164</v>
      </c>
      <c r="R37" s="3">
        <f>IFERROR((Table1[[#This Row],[Revenue]]-Table1[[#This Row],[Spend]])/Table1[[#This Row],[Spend]],0)</f>
        <v>3.0938000739553804E-2</v>
      </c>
      <c r="S37" s="6">
        <f>IFERROR(Table1[[#This Row],[Revenue]]/Table1[[#This Row],[Spend]],0)</f>
        <v>1.0309380007395539</v>
      </c>
      <c r="T37" s="4">
        <f>Table1[[#This Row],[Revenue]]-Table1[[#This Row],[Spend]]</f>
        <v>251</v>
      </c>
      <c r="U37" s="4" t="str">
        <f>TEXT(Table1[[#This Row],[Date]],"MMM")</f>
        <v>Feb</v>
      </c>
      <c r="V37" s="4" t="str">
        <f>IF(Table1[[#This Row],[ROI (%)]]&gt;0,"Profitable","Loss-Making")</f>
        <v>Profitable</v>
      </c>
    </row>
    <row r="38" spans="1:22" x14ac:dyDescent="0.35">
      <c r="A38" s="1" t="s">
        <v>121</v>
      </c>
      <c r="B38" t="s">
        <v>11</v>
      </c>
      <c r="C38" t="s">
        <v>122</v>
      </c>
      <c r="D38" s="2">
        <v>5738</v>
      </c>
      <c r="E38">
        <v>68457</v>
      </c>
      <c r="F38">
        <v>3397</v>
      </c>
      <c r="G38">
        <v>720</v>
      </c>
      <c r="H38">
        <v>255</v>
      </c>
      <c r="I38" s="2">
        <v>54060</v>
      </c>
      <c r="J38" t="s">
        <v>123</v>
      </c>
      <c r="K38" s="3">
        <f>IFERROR(Table1[[#This Row],[Clicks]]/Table1[[#This Row],[Impressions]],0)</f>
        <v>4.9622390697810305E-2</v>
      </c>
      <c r="L38" s="3">
        <f>IFERROR(Table1[[#This Row],[Leads]]/Table1[[#This Row],[Clicks]],0)</f>
        <v>0.21195172210774213</v>
      </c>
      <c r="M38" s="3">
        <f>IFERROR(Table1[[#This Row],[Conversions]]/Table1[[#This Row],[Leads]],0)</f>
        <v>0.35416666666666669</v>
      </c>
      <c r="N38" s="3">
        <f>IFERROR(Table1[[#This Row],[Conversions]]/Table1[[#This Row],[Impressions]],0)</f>
        <v>3.724966037074368E-3</v>
      </c>
      <c r="O38" s="4">
        <f>IFERROR(Table1[[#This Row],[Spend]]/Table1[[#This Row],[Leads]],0)</f>
        <v>7.9694444444444441</v>
      </c>
      <c r="P38" s="4">
        <f>IFERROR(Table1[[#This Row],[Spend]]/Table1[[#This Row],[Conversions]],0)</f>
        <v>22.501960784313727</v>
      </c>
      <c r="Q38" s="4">
        <f>IFERROR(Table1[[#This Row],[Revenue]]/Table1[[#This Row],[Conversions]],0)</f>
        <v>212</v>
      </c>
      <c r="R38" s="3">
        <f>IFERROR((Table1[[#This Row],[Revenue]]-Table1[[#This Row],[Spend]])/Table1[[#This Row],[Spend]],0)</f>
        <v>8.4214011850819102</v>
      </c>
      <c r="S38" s="6">
        <f>IFERROR(Table1[[#This Row],[Revenue]]/Table1[[#This Row],[Spend]],0)</f>
        <v>9.4214011850819102</v>
      </c>
      <c r="T38" s="4">
        <f>Table1[[#This Row],[Revenue]]-Table1[[#This Row],[Spend]]</f>
        <v>48322</v>
      </c>
      <c r="U38" s="4" t="str">
        <f>TEXT(Table1[[#This Row],[Date]],"MMM")</f>
        <v>Feb</v>
      </c>
      <c r="V38" s="4" t="str">
        <f>IF(Table1[[#This Row],[ROI (%)]]&gt;0,"Profitable","Loss-Making")</f>
        <v>Profitable</v>
      </c>
    </row>
    <row r="39" spans="1:22" x14ac:dyDescent="0.35">
      <c r="A39" s="1" t="s">
        <v>124</v>
      </c>
      <c r="B39" t="s">
        <v>11</v>
      </c>
      <c r="C39" t="s">
        <v>125</v>
      </c>
      <c r="D39" s="2">
        <v>4459</v>
      </c>
      <c r="E39">
        <v>41184</v>
      </c>
      <c r="F39">
        <v>3629</v>
      </c>
      <c r="G39">
        <v>998</v>
      </c>
      <c r="H39">
        <v>210</v>
      </c>
      <c r="I39" s="2">
        <v>40320</v>
      </c>
      <c r="J39" t="s">
        <v>126</v>
      </c>
      <c r="K39" s="3">
        <f>IFERROR(Table1[[#This Row],[Clicks]]/Table1[[#This Row],[Impressions]],0)</f>
        <v>8.8116744366744368E-2</v>
      </c>
      <c r="L39" s="3">
        <f>IFERROR(Table1[[#This Row],[Leads]]/Table1[[#This Row],[Clicks]],0)</f>
        <v>0.27500688895012398</v>
      </c>
      <c r="M39" s="3">
        <f>IFERROR(Table1[[#This Row],[Conversions]]/Table1[[#This Row],[Leads]],0)</f>
        <v>0.21042084168336672</v>
      </c>
      <c r="N39" s="3">
        <f>IFERROR(Table1[[#This Row],[Conversions]]/Table1[[#This Row],[Impressions]],0)</f>
        <v>5.099067599067599E-3</v>
      </c>
      <c r="O39" s="4">
        <f>IFERROR(Table1[[#This Row],[Spend]]/Table1[[#This Row],[Leads]],0)</f>
        <v>4.4679358717434869</v>
      </c>
      <c r="P39" s="4">
        <f>IFERROR(Table1[[#This Row],[Spend]]/Table1[[#This Row],[Conversions]],0)</f>
        <v>21.233333333333334</v>
      </c>
      <c r="Q39" s="4">
        <f>IFERROR(Table1[[#This Row],[Revenue]]/Table1[[#This Row],[Conversions]],0)</f>
        <v>192</v>
      </c>
      <c r="R39" s="3">
        <f>IFERROR((Table1[[#This Row],[Revenue]]-Table1[[#This Row],[Spend]])/Table1[[#This Row],[Spend]],0)</f>
        <v>8.0423861852433287</v>
      </c>
      <c r="S39" s="6">
        <f>IFERROR(Table1[[#This Row],[Revenue]]/Table1[[#This Row],[Spend]],0)</f>
        <v>9.0423861852433287</v>
      </c>
      <c r="T39" s="4">
        <f>Table1[[#This Row],[Revenue]]-Table1[[#This Row],[Spend]]</f>
        <v>35861</v>
      </c>
      <c r="U39" s="4" t="str">
        <f>TEXT(Table1[[#This Row],[Date]],"MMM")</f>
        <v>Feb</v>
      </c>
      <c r="V39" s="4" t="str">
        <f>IF(Table1[[#This Row],[ROI (%)]]&gt;0,"Profitable","Loss-Making")</f>
        <v>Profitable</v>
      </c>
    </row>
    <row r="40" spans="1:22" x14ac:dyDescent="0.35">
      <c r="A40" s="1" t="s">
        <v>127</v>
      </c>
      <c r="B40" t="s">
        <v>11</v>
      </c>
      <c r="C40" t="s">
        <v>128</v>
      </c>
      <c r="D40" s="2">
        <v>6964</v>
      </c>
      <c r="E40">
        <v>60523</v>
      </c>
      <c r="F40">
        <v>3095</v>
      </c>
      <c r="G40">
        <v>944</v>
      </c>
      <c r="H40">
        <v>209</v>
      </c>
      <c r="I40" s="2">
        <v>51832</v>
      </c>
      <c r="J40" t="s">
        <v>129</v>
      </c>
      <c r="K40" s="3">
        <f>IFERROR(Table1[[#This Row],[Clicks]]/Table1[[#This Row],[Impressions]],0)</f>
        <v>5.1137584058952794E-2</v>
      </c>
      <c r="L40" s="3">
        <f>IFERROR(Table1[[#This Row],[Leads]]/Table1[[#This Row],[Clicks]],0)</f>
        <v>0.30500807754442649</v>
      </c>
      <c r="M40" s="3">
        <f>IFERROR(Table1[[#This Row],[Conversions]]/Table1[[#This Row],[Leads]],0)</f>
        <v>0.22139830508474576</v>
      </c>
      <c r="N40" s="3">
        <f>IFERROR(Table1[[#This Row],[Conversions]]/Table1[[#This Row],[Impressions]],0)</f>
        <v>3.453232655354163E-3</v>
      </c>
      <c r="O40" s="4">
        <f>IFERROR(Table1[[#This Row],[Spend]]/Table1[[#This Row],[Leads]],0)</f>
        <v>7.3771186440677967</v>
      </c>
      <c r="P40" s="4">
        <f>IFERROR(Table1[[#This Row],[Spend]]/Table1[[#This Row],[Conversions]],0)</f>
        <v>33.320574162679428</v>
      </c>
      <c r="Q40" s="4">
        <f>IFERROR(Table1[[#This Row],[Revenue]]/Table1[[#This Row],[Conversions]],0)</f>
        <v>248</v>
      </c>
      <c r="R40" s="3">
        <f>IFERROR((Table1[[#This Row],[Revenue]]-Table1[[#This Row],[Spend]])/Table1[[#This Row],[Spend]],0)</f>
        <v>6.442848937392303</v>
      </c>
      <c r="S40" s="6">
        <f>IFERROR(Table1[[#This Row],[Revenue]]/Table1[[#This Row],[Spend]],0)</f>
        <v>7.442848937392303</v>
      </c>
      <c r="T40" s="4">
        <f>Table1[[#This Row],[Revenue]]-Table1[[#This Row],[Spend]]</f>
        <v>44868</v>
      </c>
      <c r="U40" s="4" t="str">
        <f>TEXT(Table1[[#This Row],[Date]],"MMM")</f>
        <v>Feb</v>
      </c>
      <c r="V40" s="4" t="str">
        <f>IF(Table1[[#This Row],[ROI (%)]]&gt;0,"Profitable","Loss-Making")</f>
        <v>Profitable</v>
      </c>
    </row>
    <row r="41" spans="1:22" x14ac:dyDescent="0.35">
      <c r="A41" s="1" t="s">
        <v>130</v>
      </c>
      <c r="B41" t="s">
        <v>28</v>
      </c>
      <c r="C41" t="s">
        <v>131</v>
      </c>
      <c r="D41" s="2">
        <v>7243</v>
      </c>
      <c r="E41">
        <v>97300</v>
      </c>
      <c r="F41">
        <v>4457</v>
      </c>
      <c r="G41">
        <v>1294</v>
      </c>
      <c r="H41">
        <v>54</v>
      </c>
      <c r="I41" s="2">
        <v>8370</v>
      </c>
      <c r="J41" t="s">
        <v>132</v>
      </c>
      <c r="K41" s="3">
        <f>IFERROR(Table1[[#This Row],[Clicks]]/Table1[[#This Row],[Impressions]],0)</f>
        <v>4.5806783144912641E-2</v>
      </c>
      <c r="L41" s="3">
        <f>IFERROR(Table1[[#This Row],[Leads]]/Table1[[#This Row],[Clicks]],0)</f>
        <v>0.29032981826340587</v>
      </c>
      <c r="M41" s="3">
        <f>IFERROR(Table1[[#This Row],[Conversions]]/Table1[[#This Row],[Leads]],0)</f>
        <v>4.1731066460587329E-2</v>
      </c>
      <c r="N41" s="3">
        <f>IFERROR(Table1[[#This Row],[Conversions]]/Table1[[#This Row],[Impressions]],0)</f>
        <v>5.5498458376156221E-4</v>
      </c>
      <c r="O41" s="4">
        <f>IFERROR(Table1[[#This Row],[Spend]]/Table1[[#This Row],[Leads]],0)</f>
        <v>5.5973724884080367</v>
      </c>
      <c r="P41" s="4">
        <f>IFERROR(Table1[[#This Row],[Spend]]/Table1[[#This Row],[Conversions]],0)</f>
        <v>134.12962962962962</v>
      </c>
      <c r="Q41" s="4">
        <f>IFERROR(Table1[[#This Row],[Revenue]]/Table1[[#This Row],[Conversions]],0)</f>
        <v>155</v>
      </c>
      <c r="R41" s="3">
        <f>IFERROR((Table1[[#This Row],[Revenue]]-Table1[[#This Row],[Spend]])/Table1[[#This Row],[Spend]],0)</f>
        <v>0.15559850890514981</v>
      </c>
      <c r="S41" s="6">
        <f>IFERROR(Table1[[#This Row],[Revenue]]/Table1[[#This Row],[Spend]],0)</f>
        <v>1.1555985089051497</v>
      </c>
      <c r="T41" s="4">
        <f>Table1[[#This Row],[Revenue]]-Table1[[#This Row],[Spend]]</f>
        <v>1127</v>
      </c>
      <c r="U41" s="4" t="str">
        <f>TEXT(Table1[[#This Row],[Date]],"MMM")</f>
        <v>Feb</v>
      </c>
      <c r="V41" s="4" t="str">
        <f>IF(Table1[[#This Row],[ROI (%)]]&gt;0,"Profitable","Loss-Making")</f>
        <v>Profitable</v>
      </c>
    </row>
    <row r="42" spans="1:22" x14ac:dyDescent="0.35">
      <c r="A42" s="1" t="s">
        <v>133</v>
      </c>
      <c r="B42" t="s">
        <v>11</v>
      </c>
      <c r="C42" t="s">
        <v>134</v>
      </c>
      <c r="D42" s="2">
        <v>6224</v>
      </c>
      <c r="E42">
        <v>47271</v>
      </c>
      <c r="F42">
        <v>3520</v>
      </c>
      <c r="G42">
        <v>916</v>
      </c>
      <c r="H42">
        <v>219</v>
      </c>
      <c r="I42" s="2">
        <v>51027</v>
      </c>
      <c r="J42" t="s">
        <v>135</v>
      </c>
      <c r="K42" s="3">
        <f>IFERROR(Table1[[#This Row],[Clicks]]/Table1[[#This Row],[Impressions]],0)</f>
        <v>7.4464259271011829E-2</v>
      </c>
      <c r="L42" s="3">
        <f>IFERROR(Table1[[#This Row],[Leads]]/Table1[[#This Row],[Clicks]],0)</f>
        <v>0.26022727272727275</v>
      </c>
      <c r="M42" s="3">
        <f>IFERROR(Table1[[#This Row],[Conversions]]/Table1[[#This Row],[Leads]],0)</f>
        <v>0.23908296943231441</v>
      </c>
      <c r="N42" s="3">
        <f>IFERROR(Table1[[#This Row],[Conversions]]/Table1[[#This Row],[Impressions]],0)</f>
        <v>4.6328615853271559E-3</v>
      </c>
      <c r="O42" s="4">
        <f>IFERROR(Table1[[#This Row],[Spend]]/Table1[[#This Row],[Leads]],0)</f>
        <v>6.7947598253275112</v>
      </c>
      <c r="P42" s="4">
        <f>IFERROR(Table1[[#This Row],[Spend]]/Table1[[#This Row],[Conversions]],0)</f>
        <v>28.420091324200914</v>
      </c>
      <c r="Q42" s="4">
        <f>IFERROR(Table1[[#This Row],[Revenue]]/Table1[[#This Row],[Conversions]],0)</f>
        <v>233</v>
      </c>
      <c r="R42" s="3">
        <f>IFERROR((Table1[[#This Row],[Revenue]]-Table1[[#This Row],[Spend]])/Table1[[#This Row],[Spend]],0)</f>
        <v>7.1984254498714657</v>
      </c>
      <c r="S42" s="6">
        <f>IFERROR(Table1[[#This Row],[Revenue]]/Table1[[#This Row],[Spend]],0)</f>
        <v>8.1984254498714648</v>
      </c>
      <c r="T42" s="4">
        <f>Table1[[#This Row],[Revenue]]-Table1[[#This Row],[Spend]]</f>
        <v>44803</v>
      </c>
      <c r="U42" s="4" t="str">
        <f>TEXT(Table1[[#This Row],[Date]],"MMM")</f>
        <v>Feb</v>
      </c>
      <c r="V42" s="4" t="str">
        <f>IF(Table1[[#This Row],[ROI (%)]]&gt;0,"Profitable","Loss-Making")</f>
        <v>Profitable</v>
      </c>
    </row>
    <row r="43" spans="1:22" x14ac:dyDescent="0.35">
      <c r="A43" s="1" t="s">
        <v>136</v>
      </c>
      <c r="B43" t="s">
        <v>28</v>
      </c>
      <c r="C43" t="s">
        <v>137</v>
      </c>
      <c r="D43" s="2">
        <v>6106</v>
      </c>
      <c r="E43">
        <v>89641</v>
      </c>
      <c r="F43">
        <v>4617</v>
      </c>
      <c r="G43">
        <v>1147</v>
      </c>
      <c r="H43">
        <v>42</v>
      </c>
      <c r="I43" s="2">
        <v>5712</v>
      </c>
      <c r="J43" t="s">
        <v>138</v>
      </c>
      <c r="K43" s="3">
        <f>IFERROR(Table1[[#This Row],[Clicks]]/Table1[[#This Row],[Impressions]],0)</f>
        <v>5.1505449515288765E-2</v>
      </c>
      <c r="L43" s="3">
        <f>IFERROR(Table1[[#This Row],[Leads]]/Table1[[#This Row],[Clicks]],0)</f>
        <v>0.24842971626597357</v>
      </c>
      <c r="M43" s="3">
        <f>IFERROR(Table1[[#This Row],[Conversions]]/Table1[[#This Row],[Leads]],0)</f>
        <v>3.6617262423714034E-2</v>
      </c>
      <c r="N43" s="3">
        <f>IFERROR(Table1[[#This Row],[Conversions]]/Table1[[#This Row],[Impressions]],0)</f>
        <v>4.6853560312803294E-4</v>
      </c>
      <c r="O43" s="4">
        <f>IFERROR(Table1[[#This Row],[Spend]]/Table1[[#This Row],[Leads]],0)</f>
        <v>5.3234524847428073</v>
      </c>
      <c r="P43" s="4">
        <f>IFERROR(Table1[[#This Row],[Spend]]/Table1[[#This Row],[Conversions]],0)</f>
        <v>145.38095238095238</v>
      </c>
      <c r="Q43" s="4">
        <f>IFERROR(Table1[[#This Row],[Revenue]]/Table1[[#This Row],[Conversions]],0)</f>
        <v>136</v>
      </c>
      <c r="R43" s="3">
        <f>IFERROR((Table1[[#This Row],[Revenue]]-Table1[[#This Row],[Spend]])/Table1[[#This Row],[Spend]],0)</f>
        <v>-6.4526695054045208E-2</v>
      </c>
      <c r="S43" s="6">
        <f>IFERROR(Table1[[#This Row],[Revenue]]/Table1[[#This Row],[Spend]],0)</f>
        <v>0.93547330494595482</v>
      </c>
      <c r="T43" s="4">
        <f>Table1[[#This Row],[Revenue]]-Table1[[#This Row],[Spend]]</f>
        <v>-394</v>
      </c>
      <c r="U43" s="4" t="str">
        <f>TEXT(Table1[[#This Row],[Date]],"MMM")</f>
        <v>Feb</v>
      </c>
      <c r="V43" s="4" t="str">
        <f>IF(Table1[[#This Row],[ROI (%)]]&gt;0,"Profitable","Loss-Making")</f>
        <v>Loss-Making</v>
      </c>
    </row>
    <row r="44" spans="1:22" x14ac:dyDescent="0.35">
      <c r="A44" s="1" t="s">
        <v>139</v>
      </c>
      <c r="B44" t="s">
        <v>11</v>
      </c>
      <c r="C44" t="s">
        <v>140</v>
      </c>
      <c r="D44" s="2">
        <v>4145</v>
      </c>
      <c r="E44">
        <v>52612</v>
      </c>
      <c r="F44">
        <v>3045</v>
      </c>
      <c r="G44">
        <v>803</v>
      </c>
      <c r="H44">
        <v>298</v>
      </c>
      <c r="I44" s="2">
        <v>70626</v>
      </c>
      <c r="J44" t="s">
        <v>141</v>
      </c>
      <c r="K44" s="3">
        <f>IFERROR(Table1[[#This Row],[Clicks]]/Table1[[#This Row],[Impressions]],0)</f>
        <v>5.7876530069185736E-2</v>
      </c>
      <c r="L44" s="3">
        <f>IFERROR(Table1[[#This Row],[Leads]]/Table1[[#This Row],[Clicks]],0)</f>
        <v>0.26371100164203615</v>
      </c>
      <c r="M44" s="3">
        <f>IFERROR(Table1[[#This Row],[Conversions]]/Table1[[#This Row],[Leads]],0)</f>
        <v>0.37110834371108342</v>
      </c>
      <c r="N44" s="3">
        <f>IFERROR(Table1[[#This Row],[Conversions]]/Table1[[#This Row],[Impressions]],0)</f>
        <v>5.6641070478217898E-3</v>
      </c>
      <c r="O44" s="4">
        <f>IFERROR(Table1[[#This Row],[Spend]]/Table1[[#This Row],[Leads]],0)</f>
        <v>5.1618929016189288</v>
      </c>
      <c r="P44" s="4">
        <f>IFERROR(Table1[[#This Row],[Spend]]/Table1[[#This Row],[Conversions]],0)</f>
        <v>13.909395973154362</v>
      </c>
      <c r="Q44" s="4">
        <f>IFERROR(Table1[[#This Row],[Revenue]]/Table1[[#This Row],[Conversions]],0)</f>
        <v>237</v>
      </c>
      <c r="R44" s="3">
        <f>IFERROR((Table1[[#This Row],[Revenue]]-Table1[[#This Row],[Spend]])/Table1[[#This Row],[Spend]],0)</f>
        <v>16.038841978287092</v>
      </c>
      <c r="S44" s="6">
        <f>IFERROR(Table1[[#This Row],[Revenue]]/Table1[[#This Row],[Spend]],0)</f>
        <v>17.038841978287092</v>
      </c>
      <c r="T44" s="4">
        <f>Table1[[#This Row],[Revenue]]-Table1[[#This Row],[Spend]]</f>
        <v>66481</v>
      </c>
      <c r="U44" s="4" t="str">
        <f>TEXT(Table1[[#This Row],[Date]],"MMM")</f>
        <v>Feb</v>
      </c>
      <c r="V44" s="4" t="str">
        <f>IF(Table1[[#This Row],[ROI (%)]]&gt;0,"Profitable","Loss-Making")</f>
        <v>Profitable</v>
      </c>
    </row>
    <row r="45" spans="1:22" x14ac:dyDescent="0.35">
      <c r="A45" s="1" t="s">
        <v>142</v>
      </c>
      <c r="B45" t="s">
        <v>28</v>
      </c>
      <c r="C45" t="s">
        <v>143</v>
      </c>
      <c r="D45" s="2">
        <v>8072</v>
      </c>
      <c r="E45">
        <v>76169</v>
      </c>
      <c r="F45">
        <v>4090</v>
      </c>
      <c r="G45">
        <v>1005</v>
      </c>
      <c r="H45">
        <v>81</v>
      </c>
      <c r="I45" s="2">
        <v>14256</v>
      </c>
      <c r="J45" t="s">
        <v>144</v>
      </c>
      <c r="K45" s="3">
        <f>IFERROR(Table1[[#This Row],[Clicks]]/Table1[[#This Row],[Impressions]],0)</f>
        <v>5.3696385668710371E-2</v>
      </c>
      <c r="L45" s="3">
        <f>IFERROR(Table1[[#This Row],[Leads]]/Table1[[#This Row],[Clicks]],0)</f>
        <v>0.24572127139364303</v>
      </c>
      <c r="M45" s="3">
        <f>IFERROR(Table1[[#This Row],[Conversions]]/Table1[[#This Row],[Leads]],0)</f>
        <v>8.0597014925373134E-2</v>
      </c>
      <c r="N45" s="3">
        <f>IFERROR(Table1[[#This Row],[Conversions]]/Table1[[#This Row],[Impressions]],0)</f>
        <v>1.0634247528522101E-3</v>
      </c>
      <c r="O45" s="4">
        <f>IFERROR(Table1[[#This Row],[Spend]]/Table1[[#This Row],[Leads]],0)</f>
        <v>8.0318407960198996</v>
      </c>
      <c r="P45" s="4">
        <f>IFERROR(Table1[[#This Row],[Spend]]/Table1[[#This Row],[Conversions]],0)</f>
        <v>99.654320987654316</v>
      </c>
      <c r="Q45" s="4">
        <f>IFERROR(Table1[[#This Row],[Revenue]]/Table1[[#This Row],[Conversions]],0)</f>
        <v>176</v>
      </c>
      <c r="R45" s="3">
        <f>IFERROR((Table1[[#This Row],[Revenue]]-Table1[[#This Row],[Spend]])/Table1[[#This Row],[Spend]],0)</f>
        <v>0.76610505450941524</v>
      </c>
      <c r="S45" s="6">
        <f>IFERROR(Table1[[#This Row],[Revenue]]/Table1[[#This Row],[Spend]],0)</f>
        <v>1.7661050545094152</v>
      </c>
      <c r="T45" s="4">
        <f>Table1[[#This Row],[Revenue]]-Table1[[#This Row],[Spend]]</f>
        <v>6184</v>
      </c>
      <c r="U45" s="4" t="str">
        <f>TEXT(Table1[[#This Row],[Date]],"MMM")</f>
        <v>Feb</v>
      </c>
      <c r="V45" s="4" t="str">
        <f>IF(Table1[[#This Row],[ROI (%)]]&gt;0,"Profitable","Loss-Making")</f>
        <v>Profitable</v>
      </c>
    </row>
    <row r="46" spans="1:22" x14ac:dyDescent="0.35">
      <c r="A46" s="1" t="s">
        <v>145</v>
      </c>
      <c r="B46" t="s">
        <v>15</v>
      </c>
      <c r="C46" t="s">
        <v>146</v>
      </c>
      <c r="D46" s="2">
        <v>12593</v>
      </c>
      <c r="E46">
        <v>37859</v>
      </c>
      <c r="F46">
        <v>1945</v>
      </c>
      <c r="G46">
        <v>207</v>
      </c>
      <c r="H46">
        <v>48</v>
      </c>
      <c r="I46" s="2">
        <v>9648</v>
      </c>
      <c r="J46" t="s">
        <v>147</v>
      </c>
      <c r="K46" s="3">
        <f>IFERROR(Table1[[#This Row],[Clicks]]/Table1[[#This Row],[Impressions]],0)</f>
        <v>5.1374838215483769E-2</v>
      </c>
      <c r="L46" s="3">
        <f>IFERROR(Table1[[#This Row],[Leads]]/Table1[[#This Row],[Clicks]],0)</f>
        <v>0.106426735218509</v>
      </c>
      <c r="M46" s="3">
        <f>IFERROR(Table1[[#This Row],[Conversions]]/Table1[[#This Row],[Leads]],0)</f>
        <v>0.2318840579710145</v>
      </c>
      <c r="N46" s="3">
        <f>IFERROR(Table1[[#This Row],[Conversions]]/Table1[[#This Row],[Impressions]],0)</f>
        <v>1.2678623312818616E-3</v>
      </c>
      <c r="O46" s="4">
        <f>IFERROR(Table1[[#This Row],[Spend]]/Table1[[#This Row],[Leads]],0)</f>
        <v>60.835748792270529</v>
      </c>
      <c r="P46" s="4">
        <f>IFERROR(Table1[[#This Row],[Spend]]/Table1[[#This Row],[Conversions]],0)</f>
        <v>262.35416666666669</v>
      </c>
      <c r="Q46" s="4">
        <f>IFERROR(Table1[[#This Row],[Revenue]]/Table1[[#This Row],[Conversions]],0)</f>
        <v>201</v>
      </c>
      <c r="R46" s="3">
        <f>IFERROR((Table1[[#This Row],[Revenue]]-Table1[[#This Row],[Spend]])/Table1[[#This Row],[Spend]],0)</f>
        <v>-0.23386008099737951</v>
      </c>
      <c r="S46" s="6">
        <f>IFERROR(Table1[[#This Row],[Revenue]]/Table1[[#This Row],[Spend]],0)</f>
        <v>0.76613991900262046</v>
      </c>
      <c r="T46" s="4">
        <f>Table1[[#This Row],[Revenue]]-Table1[[#This Row],[Spend]]</f>
        <v>-2945</v>
      </c>
      <c r="U46" s="4" t="str">
        <f>TEXT(Table1[[#This Row],[Date]],"MMM")</f>
        <v>Feb</v>
      </c>
      <c r="V46" s="4" t="str">
        <f>IF(Table1[[#This Row],[ROI (%)]]&gt;0,"Profitable","Loss-Making")</f>
        <v>Loss-Making</v>
      </c>
    </row>
    <row r="47" spans="1:22" x14ac:dyDescent="0.35">
      <c r="A47" s="1" t="s">
        <v>148</v>
      </c>
      <c r="B47" t="s">
        <v>11</v>
      </c>
      <c r="C47" t="s">
        <v>149</v>
      </c>
      <c r="D47" s="2">
        <v>5827</v>
      </c>
      <c r="E47">
        <v>44677</v>
      </c>
      <c r="F47">
        <v>4771</v>
      </c>
      <c r="G47">
        <v>709</v>
      </c>
      <c r="H47">
        <v>280</v>
      </c>
      <c r="I47" s="2">
        <v>50400</v>
      </c>
      <c r="J47" t="s">
        <v>150</v>
      </c>
      <c r="K47" s="3">
        <f>IFERROR(Table1[[#This Row],[Clicks]]/Table1[[#This Row],[Impressions]],0)</f>
        <v>0.10678872798084026</v>
      </c>
      <c r="L47" s="3">
        <f>IFERROR(Table1[[#This Row],[Leads]]/Table1[[#This Row],[Clicks]],0)</f>
        <v>0.14860616223014042</v>
      </c>
      <c r="M47" s="3">
        <f>IFERROR(Table1[[#This Row],[Conversions]]/Table1[[#This Row],[Leads]],0)</f>
        <v>0.39492242595204513</v>
      </c>
      <c r="N47" s="3">
        <f>IFERROR(Table1[[#This Row],[Conversions]]/Table1[[#This Row],[Impressions]],0)</f>
        <v>6.2672068402086084E-3</v>
      </c>
      <c r="O47" s="4">
        <f>IFERROR(Table1[[#This Row],[Spend]]/Table1[[#This Row],[Leads]],0)</f>
        <v>8.2186177715091677</v>
      </c>
      <c r="P47" s="4">
        <f>IFERROR(Table1[[#This Row],[Spend]]/Table1[[#This Row],[Conversions]],0)</f>
        <v>20.810714285714287</v>
      </c>
      <c r="Q47" s="4">
        <f>IFERROR(Table1[[#This Row],[Revenue]]/Table1[[#This Row],[Conversions]],0)</f>
        <v>180</v>
      </c>
      <c r="R47" s="3">
        <f>IFERROR((Table1[[#This Row],[Revenue]]-Table1[[#This Row],[Spend]])/Table1[[#This Row],[Spend]],0)</f>
        <v>7.6493907671185859</v>
      </c>
      <c r="S47" s="6">
        <f>IFERROR(Table1[[#This Row],[Revenue]]/Table1[[#This Row],[Spend]],0)</f>
        <v>8.6493907671185859</v>
      </c>
      <c r="T47" s="4">
        <f>Table1[[#This Row],[Revenue]]-Table1[[#This Row],[Spend]]</f>
        <v>44573</v>
      </c>
      <c r="U47" s="4" t="str">
        <f>TEXT(Table1[[#This Row],[Date]],"MMM")</f>
        <v>Feb</v>
      </c>
      <c r="V47" s="4" t="str">
        <f>IF(Table1[[#This Row],[ROI (%)]]&gt;0,"Profitable","Loss-Making")</f>
        <v>Profitable</v>
      </c>
    </row>
    <row r="48" spans="1:22" x14ac:dyDescent="0.35">
      <c r="A48" s="1" t="s">
        <v>151</v>
      </c>
      <c r="B48" t="s">
        <v>28</v>
      </c>
      <c r="C48" t="s">
        <v>152</v>
      </c>
      <c r="D48" s="2">
        <v>7387</v>
      </c>
      <c r="E48">
        <v>78994</v>
      </c>
      <c r="F48">
        <v>5163</v>
      </c>
      <c r="G48">
        <v>1038</v>
      </c>
      <c r="H48">
        <v>77</v>
      </c>
      <c r="I48" s="2">
        <v>10780</v>
      </c>
      <c r="J48" t="s">
        <v>153</v>
      </c>
      <c r="K48" s="3">
        <f>IFERROR(Table1[[#This Row],[Clicks]]/Table1[[#This Row],[Impressions]],0)</f>
        <v>6.5359394384383623E-2</v>
      </c>
      <c r="L48" s="3">
        <f>IFERROR(Table1[[#This Row],[Leads]]/Table1[[#This Row],[Clicks]],0)</f>
        <v>0.2010459035444509</v>
      </c>
      <c r="M48" s="3">
        <f>IFERROR(Table1[[#This Row],[Conversions]]/Table1[[#This Row],[Leads]],0)</f>
        <v>7.4181117533718685E-2</v>
      </c>
      <c r="N48" s="3">
        <f>IFERROR(Table1[[#This Row],[Conversions]]/Table1[[#This Row],[Impressions]],0)</f>
        <v>9.747575765247994E-4</v>
      </c>
      <c r="O48" s="4">
        <f>IFERROR(Table1[[#This Row],[Spend]]/Table1[[#This Row],[Leads]],0)</f>
        <v>7.1165703275529868</v>
      </c>
      <c r="P48" s="4">
        <f>IFERROR(Table1[[#This Row],[Spend]]/Table1[[#This Row],[Conversions]],0)</f>
        <v>95.935064935064929</v>
      </c>
      <c r="Q48" s="4">
        <f>IFERROR(Table1[[#This Row],[Revenue]]/Table1[[#This Row],[Conversions]],0)</f>
        <v>140</v>
      </c>
      <c r="R48" s="3">
        <f>IFERROR((Table1[[#This Row],[Revenue]]-Table1[[#This Row],[Spend]])/Table1[[#This Row],[Spend]],0)</f>
        <v>0.45932042777852983</v>
      </c>
      <c r="S48" s="6">
        <f>IFERROR(Table1[[#This Row],[Revenue]]/Table1[[#This Row],[Spend]],0)</f>
        <v>1.4593204277785299</v>
      </c>
      <c r="T48" s="4">
        <f>Table1[[#This Row],[Revenue]]-Table1[[#This Row],[Spend]]</f>
        <v>3393</v>
      </c>
      <c r="U48" s="4" t="str">
        <f>TEXT(Table1[[#This Row],[Date]],"MMM")</f>
        <v>Feb</v>
      </c>
      <c r="V48" s="4" t="str">
        <f>IF(Table1[[#This Row],[ROI (%)]]&gt;0,"Profitable","Loss-Making")</f>
        <v>Profitable</v>
      </c>
    </row>
    <row r="49" spans="1:22" x14ac:dyDescent="0.35">
      <c r="A49" s="1" t="s">
        <v>154</v>
      </c>
      <c r="B49" t="s">
        <v>28</v>
      </c>
      <c r="C49" t="s">
        <v>155</v>
      </c>
      <c r="D49" s="2">
        <v>8979</v>
      </c>
      <c r="E49">
        <v>73834</v>
      </c>
      <c r="F49">
        <v>4203</v>
      </c>
      <c r="G49">
        <v>1122</v>
      </c>
      <c r="H49">
        <v>83</v>
      </c>
      <c r="I49" s="2">
        <v>14691</v>
      </c>
      <c r="J49" t="s">
        <v>156</v>
      </c>
      <c r="K49" s="3">
        <f>IFERROR(Table1[[#This Row],[Clicks]]/Table1[[#This Row],[Impressions]],0)</f>
        <v>5.6924993905246905E-2</v>
      </c>
      <c r="L49" s="3">
        <f>IFERROR(Table1[[#This Row],[Leads]]/Table1[[#This Row],[Clicks]],0)</f>
        <v>0.26695217701641683</v>
      </c>
      <c r="M49" s="3">
        <f>IFERROR(Table1[[#This Row],[Conversions]]/Table1[[#This Row],[Leads]],0)</f>
        <v>7.3975044563279857E-2</v>
      </c>
      <c r="N49" s="3">
        <f>IFERROR(Table1[[#This Row],[Conversions]]/Table1[[#This Row],[Impressions]],0)</f>
        <v>1.1241433485927892E-3</v>
      </c>
      <c r="O49" s="4">
        <f>IFERROR(Table1[[#This Row],[Spend]]/Table1[[#This Row],[Leads]],0)</f>
        <v>8.0026737967914432</v>
      </c>
      <c r="P49" s="4">
        <f>IFERROR(Table1[[#This Row],[Spend]]/Table1[[#This Row],[Conversions]],0)</f>
        <v>108.18072289156626</v>
      </c>
      <c r="Q49" s="4">
        <f>IFERROR(Table1[[#This Row],[Revenue]]/Table1[[#This Row],[Conversions]],0)</f>
        <v>177</v>
      </c>
      <c r="R49" s="3">
        <f>IFERROR((Table1[[#This Row],[Revenue]]-Table1[[#This Row],[Spend]])/Table1[[#This Row],[Spend]],0)</f>
        <v>0.63615101904443705</v>
      </c>
      <c r="S49" s="6">
        <f>IFERROR(Table1[[#This Row],[Revenue]]/Table1[[#This Row],[Spend]],0)</f>
        <v>1.636151019044437</v>
      </c>
      <c r="T49" s="4">
        <f>Table1[[#This Row],[Revenue]]-Table1[[#This Row],[Spend]]</f>
        <v>5712</v>
      </c>
      <c r="U49" s="4" t="str">
        <f>TEXT(Table1[[#This Row],[Date]],"MMM")</f>
        <v>Feb</v>
      </c>
      <c r="V49" s="4" t="str">
        <f>IF(Table1[[#This Row],[ROI (%)]]&gt;0,"Profitable","Loss-Making")</f>
        <v>Profitable</v>
      </c>
    </row>
    <row r="50" spans="1:22" x14ac:dyDescent="0.35">
      <c r="A50" s="1" t="s">
        <v>157</v>
      </c>
      <c r="B50" t="s">
        <v>15</v>
      </c>
      <c r="C50" t="s">
        <v>158</v>
      </c>
      <c r="D50" s="2">
        <v>10785</v>
      </c>
      <c r="E50">
        <v>28136</v>
      </c>
      <c r="F50">
        <v>2932</v>
      </c>
      <c r="G50">
        <v>404</v>
      </c>
      <c r="H50">
        <v>20</v>
      </c>
      <c r="I50" s="2">
        <v>4160</v>
      </c>
      <c r="J50" t="s">
        <v>159</v>
      </c>
      <c r="K50" s="3">
        <f>IFERROR(Table1[[#This Row],[Clicks]]/Table1[[#This Row],[Impressions]],0)</f>
        <v>0.10420813193062269</v>
      </c>
      <c r="L50" s="3">
        <f>IFERROR(Table1[[#This Row],[Leads]]/Table1[[#This Row],[Clicks]],0)</f>
        <v>0.1377899045020464</v>
      </c>
      <c r="M50" s="3">
        <f>IFERROR(Table1[[#This Row],[Conversions]]/Table1[[#This Row],[Leads]],0)</f>
        <v>4.9504950495049507E-2</v>
      </c>
      <c r="N50" s="3">
        <f>IFERROR(Table1[[#This Row],[Conversions]]/Table1[[#This Row],[Impressions]],0)</f>
        <v>7.108330963889679E-4</v>
      </c>
      <c r="O50" s="4">
        <f>IFERROR(Table1[[#This Row],[Spend]]/Table1[[#This Row],[Leads]],0)</f>
        <v>26.695544554455445</v>
      </c>
      <c r="P50" s="4">
        <f>IFERROR(Table1[[#This Row],[Spend]]/Table1[[#This Row],[Conversions]],0)</f>
        <v>539.25</v>
      </c>
      <c r="Q50" s="4">
        <f>IFERROR(Table1[[#This Row],[Revenue]]/Table1[[#This Row],[Conversions]],0)</f>
        <v>208</v>
      </c>
      <c r="R50" s="3">
        <f>IFERROR((Table1[[#This Row],[Revenue]]-Table1[[#This Row],[Spend]])/Table1[[#This Row],[Spend]],0)</f>
        <v>-0.6142790913305517</v>
      </c>
      <c r="S50" s="6">
        <f>IFERROR(Table1[[#This Row],[Revenue]]/Table1[[#This Row],[Spend]],0)</f>
        <v>0.3857209086694483</v>
      </c>
      <c r="T50" s="4">
        <f>Table1[[#This Row],[Revenue]]-Table1[[#This Row],[Spend]]</f>
        <v>-6625</v>
      </c>
      <c r="U50" s="4" t="str">
        <f>TEXT(Table1[[#This Row],[Date]],"MMM")</f>
        <v>Feb</v>
      </c>
      <c r="V50" s="4" t="str">
        <f>IF(Table1[[#This Row],[ROI (%)]]&gt;0,"Profitable","Loss-Making")</f>
        <v>Loss-Making</v>
      </c>
    </row>
    <row r="51" spans="1:22" x14ac:dyDescent="0.35">
      <c r="A51" s="1" t="s">
        <v>160</v>
      </c>
      <c r="B51" t="s">
        <v>28</v>
      </c>
      <c r="C51" t="s">
        <v>161</v>
      </c>
      <c r="D51" s="2">
        <v>7448</v>
      </c>
      <c r="E51">
        <v>84167</v>
      </c>
      <c r="F51">
        <v>4062</v>
      </c>
      <c r="G51">
        <v>1213</v>
      </c>
      <c r="H51">
        <v>61</v>
      </c>
      <c r="I51" s="2">
        <v>8601</v>
      </c>
      <c r="J51" t="s">
        <v>162</v>
      </c>
      <c r="K51" s="3">
        <f>IFERROR(Table1[[#This Row],[Clicks]]/Table1[[#This Row],[Impressions]],0)</f>
        <v>4.8261195005168296E-2</v>
      </c>
      <c r="L51" s="3">
        <f>IFERROR(Table1[[#This Row],[Leads]]/Table1[[#This Row],[Clicks]],0)</f>
        <v>0.29862136878385032</v>
      </c>
      <c r="M51" s="3">
        <f>IFERROR(Table1[[#This Row],[Conversions]]/Table1[[#This Row],[Leads]],0)</f>
        <v>5.0288540807914263E-2</v>
      </c>
      <c r="N51" s="3">
        <f>IFERROR(Table1[[#This Row],[Conversions]]/Table1[[#This Row],[Impressions]],0)</f>
        <v>7.2474960495205959E-4</v>
      </c>
      <c r="O51" s="4">
        <f>IFERROR(Table1[[#This Row],[Spend]]/Table1[[#This Row],[Leads]],0)</f>
        <v>6.1401483924154991</v>
      </c>
      <c r="P51" s="4">
        <f>IFERROR(Table1[[#This Row],[Spend]]/Table1[[#This Row],[Conversions]],0)</f>
        <v>122.09836065573771</v>
      </c>
      <c r="Q51" s="4">
        <f>IFERROR(Table1[[#This Row],[Revenue]]/Table1[[#This Row],[Conversions]],0)</f>
        <v>141</v>
      </c>
      <c r="R51" s="3">
        <f>IFERROR((Table1[[#This Row],[Revenue]]-Table1[[#This Row],[Spend]])/Table1[[#This Row],[Spend]],0)</f>
        <v>0.15480665950590763</v>
      </c>
      <c r="S51" s="6">
        <f>IFERROR(Table1[[#This Row],[Revenue]]/Table1[[#This Row],[Spend]],0)</f>
        <v>1.1548066595059077</v>
      </c>
      <c r="T51" s="4">
        <f>Table1[[#This Row],[Revenue]]-Table1[[#This Row],[Spend]]</f>
        <v>1153</v>
      </c>
      <c r="U51" s="4" t="str">
        <f>TEXT(Table1[[#This Row],[Date]],"MMM")</f>
        <v>Feb</v>
      </c>
      <c r="V51" s="4" t="str">
        <f>IF(Table1[[#This Row],[ROI (%)]]&gt;0,"Profitable","Loss-Making")</f>
        <v>Profitable</v>
      </c>
    </row>
    <row r="52" spans="1:22" x14ac:dyDescent="0.35">
      <c r="A52" s="1" t="s">
        <v>163</v>
      </c>
      <c r="B52" t="s">
        <v>28</v>
      </c>
      <c r="C52" t="s">
        <v>164</v>
      </c>
      <c r="D52" s="2">
        <v>8394</v>
      </c>
      <c r="E52">
        <v>82424</v>
      </c>
      <c r="F52">
        <v>5530</v>
      </c>
      <c r="G52">
        <v>1012</v>
      </c>
      <c r="H52">
        <v>74</v>
      </c>
      <c r="I52" s="2">
        <v>12950</v>
      </c>
      <c r="J52" t="s">
        <v>165</v>
      </c>
      <c r="K52" s="3">
        <f>IFERROR(Table1[[#This Row],[Clicks]]/Table1[[#This Row],[Impressions]],0)</f>
        <v>6.709210909443851E-2</v>
      </c>
      <c r="L52" s="3">
        <f>IFERROR(Table1[[#This Row],[Leads]]/Table1[[#This Row],[Clicks]],0)</f>
        <v>0.18300180831826401</v>
      </c>
      <c r="M52" s="3">
        <f>IFERROR(Table1[[#This Row],[Conversions]]/Table1[[#This Row],[Leads]],0)</f>
        <v>7.3122529644268769E-2</v>
      </c>
      <c r="N52" s="3">
        <f>IFERROR(Table1[[#This Row],[Conversions]]/Table1[[#This Row],[Impressions]],0)</f>
        <v>8.9779675822575949E-4</v>
      </c>
      <c r="O52" s="4">
        <f>IFERROR(Table1[[#This Row],[Spend]]/Table1[[#This Row],[Leads]],0)</f>
        <v>8.2944664031620547</v>
      </c>
      <c r="P52" s="4">
        <f>IFERROR(Table1[[#This Row],[Spend]]/Table1[[#This Row],[Conversions]],0)</f>
        <v>113.43243243243244</v>
      </c>
      <c r="Q52" s="4">
        <f>IFERROR(Table1[[#This Row],[Revenue]]/Table1[[#This Row],[Conversions]],0)</f>
        <v>175</v>
      </c>
      <c r="R52" s="3">
        <f>IFERROR((Table1[[#This Row],[Revenue]]-Table1[[#This Row],[Spend]])/Table1[[#This Row],[Spend]],0)</f>
        <v>0.54276864426971649</v>
      </c>
      <c r="S52" s="6">
        <f>IFERROR(Table1[[#This Row],[Revenue]]/Table1[[#This Row],[Spend]],0)</f>
        <v>1.5427686442697164</v>
      </c>
      <c r="T52" s="4">
        <f>Table1[[#This Row],[Revenue]]-Table1[[#This Row],[Spend]]</f>
        <v>4556</v>
      </c>
      <c r="U52" s="4" t="str">
        <f>TEXT(Table1[[#This Row],[Date]],"MMM")</f>
        <v>Feb</v>
      </c>
      <c r="V52" s="4" t="str">
        <f>IF(Table1[[#This Row],[ROI (%)]]&gt;0,"Profitable","Loss-Making")</f>
        <v>Profitable</v>
      </c>
    </row>
    <row r="53" spans="1:22" x14ac:dyDescent="0.35">
      <c r="A53" s="1" t="s">
        <v>166</v>
      </c>
      <c r="B53" t="s">
        <v>15</v>
      </c>
      <c r="C53" t="s">
        <v>167</v>
      </c>
      <c r="D53" s="2">
        <v>11970</v>
      </c>
      <c r="E53">
        <v>28116</v>
      </c>
      <c r="F53">
        <v>1812</v>
      </c>
      <c r="G53">
        <v>352</v>
      </c>
      <c r="H53">
        <v>49</v>
      </c>
      <c r="I53" s="2">
        <v>8085</v>
      </c>
      <c r="J53" t="s">
        <v>168</v>
      </c>
      <c r="K53" s="3">
        <f>IFERROR(Table1[[#This Row],[Clicks]]/Table1[[#This Row],[Impressions]],0)</f>
        <v>6.444728979940248E-2</v>
      </c>
      <c r="L53" s="3">
        <f>IFERROR(Table1[[#This Row],[Leads]]/Table1[[#This Row],[Clicks]],0)</f>
        <v>0.19426048565121412</v>
      </c>
      <c r="M53" s="3">
        <f>IFERROR(Table1[[#This Row],[Conversions]]/Table1[[#This Row],[Leads]],0)</f>
        <v>0.13920454545454544</v>
      </c>
      <c r="N53" s="3">
        <f>IFERROR(Table1[[#This Row],[Conversions]]/Table1[[#This Row],[Impressions]],0)</f>
        <v>1.7427799117939963E-3</v>
      </c>
      <c r="O53" s="4">
        <f>IFERROR(Table1[[#This Row],[Spend]]/Table1[[#This Row],[Leads]],0)</f>
        <v>34.00568181818182</v>
      </c>
      <c r="P53" s="4">
        <f>IFERROR(Table1[[#This Row],[Spend]]/Table1[[#This Row],[Conversions]],0)</f>
        <v>244.28571428571428</v>
      </c>
      <c r="Q53" s="4">
        <f>IFERROR(Table1[[#This Row],[Revenue]]/Table1[[#This Row],[Conversions]],0)</f>
        <v>165</v>
      </c>
      <c r="R53" s="3">
        <f>IFERROR((Table1[[#This Row],[Revenue]]-Table1[[#This Row],[Spend]])/Table1[[#This Row],[Spend]],0)</f>
        <v>-0.32456140350877194</v>
      </c>
      <c r="S53" s="6">
        <f>IFERROR(Table1[[#This Row],[Revenue]]/Table1[[#This Row],[Spend]],0)</f>
        <v>0.67543859649122806</v>
      </c>
      <c r="T53" s="4">
        <f>Table1[[#This Row],[Revenue]]-Table1[[#This Row],[Spend]]</f>
        <v>-3885</v>
      </c>
      <c r="U53" s="4" t="str">
        <f>TEXT(Table1[[#This Row],[Date]],"MMM")</f>
        <v>Feb</v>
      </c>
      <c r="V53" s="4" t="str">
        <f>IF(Table1[[#This Row],[ROI (%)]]&gt;0,"Profitable","Loss-Making")</f>
        <v>Loss-Making</v>
      </c>
    </row>
    <row r="54" spans="1:22" x14ac:dyDescent="0.35">
      <c r="A54" s="1" t="s">
        <v>169</v>
      </c>
      <c r="B54" t="s">
        <v>11</v>
      </c>
      <c r="C54" t="s">
        <v>170</v>
      </c>
      <c r="D54" s="2">
        <v>6170</v>
      </c>
      <c r="E54">
        <v>50190</v>
      </c>
      <c r="F54">
        <v>4565</v>
      </c>
      <c r="G54">
        <v>976</v>
      </c>
      <c r="H54">
        <v>295</v>
      </c>
      <c r="I54" s="2">
        <v>62835</v>
      </c>
      <c r="J54" t="s">
        <v>171</v>
      </c>
      <c r="K54" s="3">
        <f>IFERROR(Table1[[#This Row],[Clicks]]/Table1[[#This Row],[Impressions]],0)</f>
        <v>9.0954373381151629E-2</v>
      </c>
      <c r="L54" s="3">
        <f>IFERROR(Table1[[#This Row],[Leads]]/Table1[[#This Row],[Clicks]],0)</f>
        <v>0.21380065717415114</v>
      </c>
      <c r="M54" s="3">
        <f>IFERROR(Table1[[#This Row],[Conversions]]/Table1[[#This Row],[Leads]],0)</f>
        <v>0.30225409836065575</v>
      </c>
      <c r="N54" s="3">
        <f>IFERROR(Table1[[#This Row],[Conversions]]/Table1[[#This Row],[Impressions]],0)</f>
        <v>5.8776648734807733E-3</v>
      </c>
      <c r="O54" s="4">
        <f>IFERROR(Table1[[#This Row],[Spend]]/Table1[[#This Row],[Leads]],0)</f>
        <v>6.3217213114754101</v>
      </c>
      <c r="P54" s="4">
        <f>IFERROR(Table1[[#This Row],[Spend]]/Table1[[#This Row],[Conversions]],0)</f>
        <v>20.915254237288135</v>
      </c>
      <c r="Q54" s="4">
        <f>IFERROR(Table1[[#This Row],[Revenue]]/Table1[[#This Row],[Conversions]],0)</f>
        <v>213</v>
      </c>
      <c r="R54" s="3">
        <f>IFERROR((Table1[[#This Row],[Revenue]]-Table1[[#This Row],[Spend]])/Table1[[#This Row],[Spend]],0)</f>
        <v>9.1839546191247976</v>
      </c>
      <c r="S54" s="6">
        <f>IFERROR(Table1[[#This Row],[Revenue]]/Table1[[#This Row],[Spend]],0)</f>
        <v>10.183954619124798</v>
      </c>
      <c r="T54" s="4">
        <f>Table1[[#This Row],[Revenue]]-Table1[[#This Row],[Spend]]</f>
        <v>56665</v>
      </c>
      <c r="U54" s="4" t="str">
        <f>TEXT(Table1[[#This Row],[Date]],"MMM")</f>
        <v>Feb</v>
      </c>
      <c r="V54" s="4" t="str">
        <f>IF(Table1[[#This Row],[ROI (%)]]&gt;0,"Profitable","Loss-Making")</f>
        <v>Profitable</v>
      </c>
    </row>
    <row r="55" spans="1:22" x14ac:dyDescent="0.35">
      <c r="A55" s="1" t="s">
        <v>172</v>
      </c>
      <c r="B55" t="s">
        <v>15</v>
      </c>
      <c r="C55" t="s">
        <v>173</v>
      </c>
      <c r="D55" s="2">
        <v>12896</v>
      </c>
      <c r="E55">
        <v>31481</v>
      </c>
      <c r="F55">
        <v>2970</v>
      </c>
      <c r="G55">
        <v>370</v>
      </c>
      <c r="H55">
        <v>47</v>
      </c>
      <c r="I55" s="2">
        <v>9165</v>
      </c>
      <c r="J55" t="s">
        <v>174</v>
      </c>
      <c r="K55" s="3">
        <f>IFERROR(Table1[[#This Row],[Clicks]]/Table1[[#This Row],[Impressions]],0)</f>
        <v>9.4342619357707824E-2</v>
      </c>
      <c r="L55" s="3">
        <f>IFERROR(Table1[[#This Row],[Leads]]/Table1[[#This Row],[Clicks]],0)</f>
        <v>0.12457912457912458</v>
      </c>
      <c r="M55" s="3">
        <f>IFERROR(Table1[[#This Row],[Conversions]]/Table1[[#This Row],[Leads]],0)</f>
        <v>0.12702702702702703</v>
      </c>
      <c r="N55" s="3">
        <f>IFERROR(Table1[[#This Row],[Conversions]]/Table1[[#This Row],[Impressions]],0)</f>
        <v>1.4929640100378005E-3</v>
      </c>
      <c r="O55" s="4">
        <f>IFERROR(Table1[[#This Row],[Spend]]/Table1[[#This Row],[Leads]],0)</f>
        <v>34.854054054054053</v>
      </c>
      <c r="P55" s="4">
        <f>IFERROR(Table1[[#This Row],[Spend]]/Table1[[#This Row],[Conversions]],0)</f>
        <v>274.38297872340428</v>
      </c>
      <c r="Q55" s="4">
        <f>IFERROR(Table1[[#This Row],[Revenue]]/Table1[[#This Row],[Conversions]],0)</f>
        <v>195</v>
      </c>
      <c r="R55" s="3">
        <f>IFERROR((Table1[[#This Row],[Revenue]]-Table1[[#This Row],[Spend]])/Table1[[#This Row],[Spend]],0)</f>
        <v>-0.28931451612903225</v>
      </c>
      <c r="S55" s="6">
        <f>IFERROR(Table1[[#This Row],[Revenue]]/Table1[[#This Row],[Spend]],0)</f>
        <v>0.71068548387096775</v>
      </c>
      <c r="T55" s="4">
        <f>Table1[[#This Row],[Revenue]]-Table1[[#This Row],[Spend]]</f>
        <v>-3731</v>
      </c>
      <c r="U55" s="4" t="str">
        <f>TEXT(Table1[[#This Row],[Date]],"MMM")</f>
        <v>Feb</v>
      </c>
      <c r="V55" s="4" t="str">
        <f>IF(Table1[[#This Row],[ROI (%)]]&gt;0,"Profitable","Loss-Making")</f>
        <v>Loss-Making</v>
      </c>
    </row>
    <row r="56" spans="1:22" x14ac:dyDescent="0.35">
      <c r="A56" s="1" t="s">
        <v>175</v>
      </c>
      <c r="B56" t="s">
        <v>11</v>
      </c>
      <c r="C56" t="s">
        <v>176</v>
      </c>
      <c r="D56" s="2">
        <v>4260</v>
      </c>
      <c r="E56">
        <v>45733</v>
      </c>
      <c r="F56">
        <v>4786</v>
      </c>
      <c r="G56">
        <v>725</v>
      </c>
      <c r="H56">
        <v>238</v>
      </c>
      <c r="I56" s="2">
        <v>58310</v>
      </c>
      <c r="J56" t="s">
        <v>177</v>
      </c>
      <c r="K56" s="3">
        <f>IFERROR(Table1[[#This Row],[Clicks]]/Table1[[#This Row],[Impressions]],0)</f>
        <v>0.10465090853431876</v>
      </c>
      <c r="L56" s="3">
        <f>IFERROR(Table1[[#This Row],[Leads]]/Table1[[#This Row],[Clicks]],0)</f>
        <v>0.15148349352277476</v>
      </c>
      <c r="M56" s="3">
        <f>IFERROR(Table1[[#This Row],[Conversions]]/Table1[[#This Row],[Leads]],0)</f>
        <v>0.32827586206896553</v>
      </c>
      <c r="N56" s="3">
        <f>IFERROR(Table1[[#This Row],[Conversions]]/Table1[[#This Row],[Impressions]],0)</f>
        <v>5.20411956355367E-3</v>
      </c>
      <c r="O56" s="4">
        <f>IFERROR(Table1[[#This Row],[Spend]]/Table1[[#This Row],[Leads]],0)</f>
        <v>5.8758620689655174</v>
      </c>
      <c r="P56" s="4">
        <f>IFERROR(Table1[[#This Row],[Spend]]/Table1[[#This Row],[Conversions]],0)</f>
        <v>17.899159663865547</v>
      </c>
      <c r="Q56" s="4">
        <f>IFERROR(Table1[[#This Row],[Revenue]]/Table1[[#This Row],[Conversions]],0)</f>
        <v>245</v>
      </c>
      <c r="R56" s="3">
        <f>IFERROR((Table1[[#This Row],[Revenue]]-Table1[[#This Row],[Spend]])/Table1[[#This Row],[Spend]],0)</f>
        <v>12.687793427230046</v>
      </c>
      <c r="S56" s="6">
        <f>IFERROR(Table1[[#This Row],[Revenue]]/Table1[[#This Row],[Spend]],0)</f>
        <v>13.687793427230046</v>
      </c>
      <c r="T56" s="4">
        <f>Table1[[#This Row],[Revenue]]-Table1[[#This Row],[Spend]]</f>
        <v>54050</v>
      </c>
      <c r="U56" s="4" t="str">
        <f>TEXT(Table1[[#This Row],[Date]],"MMM")</f>
        <v>Feb</v>
      </c>
      <c r="V56" s="4" t="str">
        <f>IF(Table1[[#This Row],[ROI (%)]]&gt;0,"Profitable","Loss-Making")</f>
        <v>Profitable</v>
      </c>
    </row>
    <row r="57" spans="1:22" x14ac:dyDescent="0.35">
      <c r="A57" s="1" t="s">
        <v>178</v>
      </c>
      <c r="B57" t="s">
        <v>28</v>
      </c>
      <c r="C57" t="s">
        <v>179</v>
      </c>
      <c r="D57" s="2">
        <v>7437</v>
      </c>
      <c r="E57">
        <v>71687</v>
      </c>
      <c r="F57">
        <v>5719</v>
      </c>
      <c r="G57">
        <v>1465</v>
      </c>
      <c r="H57">
        <v>61</v>
      </c>
      <c r="I57" s="2">
        <v>7564</v>
      </c>
      <c r="J57" t="s">
        <v>180</v>
      </c>
      <c r="K57" s="3">
        <f>IFERROR(Table1[[#This Row],[Clicks]]/Table1[[#This Row],[Impressions]],0)</f>
        <v>7.9777365491651209E-2</v>
      </c>
      <c r="L57" s="3">
        <f>IFERROR(Table1[[#This Row],[Leads]]/Table1[[#This Row],[Clicks]],0)</f>
        <v>0.25616366497639448</v>
      </c>
      <c r="M57" s="3">
        <f>IFERROR(Table1[[#This Row],[Conversions]]/Table1[[#This Row],[Leads]],0)</f>
        <v>4.1638225255972695E-2</v>
      </c>
      <c r="N57" s="3">
        <f>IFERROR(Table1[[#This Row],[Conversions]]/Table1[[#This Row],[Impressions]],0)</f>
        <v>8.5092136649601738E-4</v>
      </c>
      <c r="O57" s="4">
        <f>IFERROR(Table1[[#This Row],[Spend]]/Table1[[#This Row],[Leads]],0)</f>
        <v>5.0764505119453922</v>
      </c>
      <c r="P57" s="4">
        <f>IFERROR(Table1[[#This Row],[Spend]]/Table1[[#This Row],[Conversions]],0)</f>
        <v>121.91803278688525</v>
      </c>
      <c r="Q57" s="4">
        <f>IFERROR(Table1[[#This Row],[Revenue]]/Table1[[#This Row],[Conversions]],0)</f>
        <v>124</v>
      </c>
      <c r="R57" s="3">
        <f>IFERROR((Table1[[#This Row],[Revenue]]-Table1[[#This Row],[Spend]])/Table1[[#This Row],[Spend]],0)</f>
        <v>1.7076778270808123E-2</v>
      </c>
      <c r="S57" s="6">
        <f>IFERROR(Table1[[#This Row],[Revenue]]/Table1[[#This Row],[Spend]],0)</f>
        <v>1.0170767782708081</v>
      </c>
      <c r="T57" s="4">
        <f>Table1[[#This Row],[Revenue]]-Table1[[#This Row],[Spend]]</f>
        <v>127</v>
      </c>
      <c r="U57" s="4" t="str">
        <f>TEXT(Table1[[#This Row],[Date]],"MMM")</f>
        <v>Feb</v>
      </c>
      <c r="V57" s="4" t="str">
        <f>IF(Table1[[#This Row],[ROI (%)]]&gt;0,"Profitable","Loss-Making")</f>
        <v>Profitable</v>
      </c>
    </row>
    <row r="58" spans="1:22" x14ac:dyDescent="0.35">
      <c r="A58" s="1" t="s">
        <v>181</v>
      </c>
      <c r="B58" t="s">
        <v>28</v>
      </c>
      <c r="C58" t="s">
        <v>182</v>
      </c>
      <c r="D58" s="2">
        <v>6036</v>
      </c>
      <c r="E58">
        <v>93499</v>
      </c>
      <c r="F58">
        <v>5147</v>
      </c>
      <c r="G58">
        <v>1421</v>
      </c>
      <c r="H58">
        <v>54</v>
      </c>
      <c r="I58" s="2">
        <v>9504</v>
      </c>
      <c r="J58" t="s">
        <v>183</v>
      </c>
      <c r="K58" s="3">
        <f>IFERROR(Table1[[#This Row],[Clicks]]/Table1[[#This Row],[Impressions]],0)</f>
        <v>5.5048717098578594E-2</v>
      </c>
      <c r="L58" s="3">
        <f>IFERROR(Table1[[#This Row],[Leads]]/Table1[[#This Row],[Clicks]],0)</f>
        <v>0.27608315523605986</v>
      </c>
      <c r="M58" s="3">
        <f>IFERROR(Table1[[#This Row],[Conversions]]/Table1[[#This Row],[Leads]],0)</f>
        <v>3.8001407459535536E-2</v>
      </c>
      <c r="N58" s="3">
        <f>IFERROR(Table1[[#This Row],[Conversions]]/Table1[[#This Row],[Impressions]],0)</f>
        <v>5.775462839174751E-4</v>
      </c>
      <c r="O58" s="4">
        <f>IFERROR(Table1[[#This Row],[Spend]]/Table1[[#This Row],[Leads]],0)</f>
        <v>4.2477128782547497</v>
      </c>
      <c r="P58" s="4">
        <f>IFERROR(Table1[[#This Row],[Spend]]/Table1[[#This Row],[Conversions]],0)</f>
        <v>111.77777777777777</v>
      </c>
      <c r="Q58" s="4">
        <f>IFERROR(Table1[[#This Row],[Revenue]]/Table1[[#This Row],[Conversions]],0)</f>
        <v>176</v>
      </c>
      <c r="R58" s="3">
        <f>IFERROR((Table1[[#This Row],[Revenue]]-Table1[[#This Row],[Spend]])/Table1[[#This Row],[Spend]],0)</f>
        <v>0.57455268389662029</v>
      </c>
      <c r="S58" s="6">
        <f>IFERROR(Table1[[#This Row],[Revenue]]/Table1[[#This Row],[Spend]],0)</f>
        <v>1.5745526838966202</v>
      </c>
      <c r="T58" s="4">
        <f>Table1[[#This Row],[Revenue]]-Table1[[#This Row],[Spend]]</f>
        <v>3468</v>
      </c>
      <c r="U58" s="4" t="str">
        <f>TEXT(Table1[[#This Row],[Date]],"MMM")</f>
        <v>Feb</v>
      </c>
      <c r="V58" s="4" t="str">
        <f>IF(Table1[[#This Row],[ROI (%)]]&gt;0,"Profitable","Loss-Making")</f>
        <v>Profitable</v>
      </c>
    </row>
    <row r="59" spans="1:22" x14ac:dyDescent="0.35">
      <c r="A59" s="1" t="s">
        <v>184</v>
      </c>
      <c r="B59" t="s">
        <v>11</v>
      </c>
      <c r="C59" t="s">
        <v>185</v>
      </c>
      <c r="D59" s="2">
        <v>5457</v>
      </c>
      <c r="E59">
        <v>68581</v>
      </c>
      <c r="F59">
        <v>3964</v>
      </c>
      <c r="G59">
        <v>896</v>
      </c>
      <c r="H59">
        <v>290</v>
      </c>
      <c r="I59" s="2">
        <v>71630</v>
      </c>
      <c r="J59" t="s">
        <v>186</v>
      </c>
      <c r="K59" s="3">
        <f>IFERROR(Table1[[#This Row],[Clicks]]/Table1[[#This Row],[Impressions]],0)</f>
        <v>5.7800265379624093E-2</v>
      </c>
      <c r="L59" s="3">
        <f>IFERROR(Table1[[#This Row],[Leads]]/Table1[[#This Row],[Clicks]],0)</f>
        <v>0.22603430877901109</v>
      </c>
      <c r="M59" s="3">
        <f>IFERROR(Table1[[#This Row],[Conversions]]/Table1[[#This Row],[Leads]],0)</f>
        <v>0.3236607142857143</v>
      </c>
      <c r="N59" s="3">
        <f>IFERROR(Table1[[#This Row],[Conversions]]/Table1[[#This Row],[Impressions]],0)</f>
        <v>4.2285764278736093E-3</v>
      </c>
      <c r="O59" s="4">
        <f>IFERROR(Table1[[#This Row],[Spend]]/Table1[[#This Row],[Leads]],0)</f>
        <v>6.0904017857142856</v>
      </c>
      <c r="P59" s="4">
        <f>IFERROR(Table1[[#This Row],[Spend]]/Table1[[#This Row],[Conversions]],0)</f>
        <v>18.817241379310346</v>
      </c>
      <c r="Q59" s="4">
        <f>IFERROR(Table1[[#This Row],[Revenue]]/Table1[[#This Row],[Conversions]],0)</f>
        <v>247</v>
      </c>
      <c r="R59" s="3">
        <f>IFERROR((Table1[[#This Row],[Revenue]]-Table1[[#This Row],[Spend]])/Table1[[#This Row],[Spend]],0)</f>
        <v>12.126259849734286</v>
      </c>
      <c r="S59" s="6">
        <f>IFERROR(Table1[[#This Row],[Revenue]]/Table1[[#This Row],[Spend]],0)</f>
        <v>13.126259849734286</v>
      </c>
      <c r="T59" s="4">
        <f>Table1[[#This Row],[Revenue]]-Table1[[#This Row],[Spend]]</f>
        <v>66173</v>
      </c>
      <c r="U59" s="4" t="str">
        <f>TEXT(Table1[[#This Row],[Date]],"MMM")</f>
        <v>Feb</v>
      </c>
      <c r="V59" s="4" t="str">
        <f>IF(Table1[[#This Row],[ROI (%)]]&gt;0,"Profitable","Loss-Making")</f>
        <v>Profitable</v>
      </c>
    </row>
    <row r="60" spans="1:22" x14ac:dyDescent="0.35">
      <c r="A60" s="1" t="s">
        <v>187</v>
      </c>
      <c r="B60" t="s">
        <v>11</v>
      </c>
      <c r="C60" t="s">
        <v>188</v>
      </c>
      <c r="D60" s="2">
        <v>5537</v>
      </c>
      <c r="E60">
        <v>69151</v>
      </c>
      <c r="F60">
        <v>3961</v>
      </c>
      <c r="G60">
        <v>732</v>
      </c>
      <c r="H60">
        <v>202</v>
      </c>
      <c r="I60" s="2">
        <v>47066</v>
      </c>
      <c r="J60" t="s">
        <v>189</v>
      </c>
      <c r="K60" s="3">
        <f>IFERROR(Table1[[#This Row],[Clicks]]/Table1[[#This Row],[Impressions]],0)</f>
        <v>5.7280444245202525E-2</v>
      </c>
      <c r="L60" s="3">
        <f>IFERROR(Table1[[#This Row],[Leads]]/Table1[[#This Row],[Clicks]],0)</f>
        <v>0.18480181772279727</v>
      </c>
      <c r="M60" s="3">
        <f>IFERROR(Table1[[#This Row],[Conversions]]/Table1[[#This Row],[Leads]],0)</f>
        <v>0.27595628415300544</v>
      </c>
      <c r="N60" s="3">
        <f>IFERROR(Table1[[#This Row],[Conversions]]/Table1[[#This Row],[Impressions]],0)</f>
        <v>2.9211435843299444E-3</v>
      </c>
      <c r="O60" s="4">
        <f>IFERROR(Table1[[#This Row],[Spend]]/Table1[[#This Row],[Leads]],0)</f>
        <v>7.5642076502732243</v>
      </c>
      <c r="P60" s="4">
        <f>IFERROR(Table1[[#This Row],[Spend]]/Table1[[#This Row],[Conversions]],0)</f>
        <v>27.410891089108912</v>
      </c>
      <c r="Q60" s="4">
        <f>IFERROR(Table1[[#This Row],[Revenue]]/Table1[[#This Row],[Conversions]],0)</f>
        <v>233</v>
      </c>
      <c r="R60" s="3">
        <f>IFERROR((Table1[[#This Row],[Revenue]]-Table1[[#This Row],[Spend]])/Table1[[#This Row],[Spend]],0)</f>
        <v>7.5002709048221057</v>
      </c>
      <c r="S60" s="6">
        <f>IFERROR(Table1[[#This Row],[Revenue]]/Table1[[#This Row],[Spend]],0)</f>
        <v>8.5002709048221057</v>
      </c>
      <c r="T60" s="4">
        <f>Table1[[#This Row],[Revenue]]-Table1[[#This Row],[Spend]]</f>
        <v>41529</v>
      </c>
      <c r="U60" s="4" t="str">
        <f>TEXT(Table1[[#This Row],[Date]],"MMM")</f>
        <v>Feb</v>
      </c>
      <c r="V60" s="4" t="str">
        <f>IF(Table1[[#This Row],[ROI (%)]]&gt;0,"Profitable","Loss-Making")</f>
        <v>Profitable</v>
      </c>
    </row>
    <row r="61" spans="1:22" x14ac:dyDescent="0.35">
      <c r="A61" s="1" t="s">
        <v>190</v>
      </c>
      <c r="B61" t="s">
        <v>11</v>
      </c>
      <c r="C61" t="s">
        <v>191</v>
      </c>
      <c r="D61" s="2">
        <v>4594</v>
      </c>
      <c r="E61">
        <v>62512</v>
      </c>
      <c r="F61">
        <v>4777</v>
      </c>
      <c r="G61">
        <v>925</v>
      </c>
      <c r="H61">
        <v>254</v>
      </c>
      <c r="I61" s="2">
        <v>55880</v>
      </c>
      <c r="J61" t="s">
        <v>192</v>
      </c>
      <c r="K61" s="3">
        <f>IFERROR(Table1[[#This Row],[Clicks]]/Table1[[#This Row],[Impressions]],0)</f>
        <v>7.6417327873048377E-2</v>
      </c>
      <c r="L61" s="3">
        <f>IFERROR(Table1[[#This Row],[Leads]]/Table1[[#This Row],[Clicks]],0)</f>
        <v>0.19363617333054217</v>
      </c>
      <c r="M61" s="3">
        <f>IFERROR(Table1[[#This Row],[Conversions]]/Table1[[#This Row],[Leads]],0)</f>
        <v>0.27459459459459462</v>
      </c>
      <c r="N61" s="3">
        <f>IFERROR(Table1[[#This Row],[Conversions]]/Table1[[#This Row],[Impressions]],0)</f>
        <v>4.063219861786537E-3</v>
      </c>
      <c r="O61" s="4">
        <f>IFERROR(Table1[[#This Row],[Spend]]/Table1[[#This Row],[Leads]],0)</f>
        <v>4.9664864864864864</v>
      </c>
      <c r="P61" s="4">
        <f>IFERROR(Table1[[#This Row],[Spend]]/Table1[[#This Row],[Conversions]],0)</f>
        <v>18.086614173228348</v>
      </c>
      <c r="Q61" s="4">
        <f>IFERROR(Table1[[#This Row],[Revenue]]/Table1[[#This Row],[Conversions]],0)</f>
        <v>220</v>
      </c>
      <c r="R61" s="3">
        <f>IFERROR((Table1[[#This Row],[Revenue]]-Table1[[#This Row],[Spend]])/Table1[[#This Row],[Spend]],0)</f>
        <v>11.16369177187636</v>
      </c>
      <c r="S61" s="6">
        <f>IFERROR(Table1[[#This Row],[Revenue]]/Table1[[#This Row],[Spend]],0)</f>
        <v>12.16369177187636</v>
      </c>
      <c r="T61" s="4">
        <f>Table1[[#This Row],[Revenue]]-Table1[[#This Row],[Spend]]</f>
        <v>51286</v>
      </c>
      <c r="U61" s="4" t="str">
        <f>TEXT(Table1[[#This Row],[Date]],"MMM")</f>
        <v>Mar</v>
      </c>
      <c r="V61" s="4" t="str">
        <f>IF(Table1[[#This Row],[ROI (%)]]&gt;0,"Profitable","Loss-Making")</f>
        <v>Profitable</v>
      </c>
    </row>
    <row r="62" spans="1:22" x14ac:dyDescent="0.35">
      <c r="A62" s="1" t="s">
        <v>10</v>
      </c>
      <c r="B62" t="s">
        <v>28</v>
      </c>
      <c r="C62" t="s">
        <v>193</v>
      </c>
      <c r="D62" s="2">
        <v>7651</v>
      </c>
      <c r="E62">
        <v>73469</v>
      </c>
      <c r="F62">
        <v>4755</v>
      </c>
      <c r="G62">
        <v>1271</v>
      </c>
      <c r="H62">
        <v>97</v>
      </c>
      <c r="I62" s="2">
        <v>14356</v>
      </c>
      <c r="J62" t="s">
        <v>194</v>
      </c>
      <c r="K62" s="3">
        <f>IFERROR(Table1[[#This Row],[Clicks]]/Table1[[#This Row],[Impressions]],0)</f>
        <v>6.4721174917312066E-2</v>
      </c>
      <c r="L62" s="3">
        <f>IFERROR(Table1[[#This Row],[Leads]]/Table1[[#This Row],[Clicks]],0)</f>
        <v>0.26729758149316507</v>
      </c>
      <c r="M62" s="3">
        <f>IFERROR(Table1[[#This Row],[Conversions]]/Table1[[#This Row],[Leads]],0)</f>
        <v>7.6317859952793082E-2</v>
      </c>
      <c r="N62" s="3">
        <f>IFERROR(Table1[[#This Row],[Conversions]]/Table1[[#This Row],[Impressions]],0)</f>
        <v>1.3202847459472702E-3</v>
      </c>
      <c r="O62" s="4">
        <f>IFERROR(Table1[[#This Row],[Spend]]/Table1[[#This Row],[Leads]],0)</f>
        <v>6.0196695515342249</v>
      </c>
      <c r="P62" s="4">
        <f>IFERROR(Table1[[#This Row],[Spend]]/Table1[[#This Row],[Conversions]],0)</f>
        <v>78.876288659793815</v>
      </c>
      <c r="Q62" s="4">
        <f>IFERROR(Table1[[#This Row],[Revenue]]/Table1[[#This Row],[Conversions]],0)</f>
        <v>148</v>
      </c>
      <c r="R62" s="3">
        <f>IFERROR((Table1[[#This Row],[Revenue]]-Table1[[#This Row],[Spend]])/Table1[[#This Row],[Spend]],0)</f>
        <v>0.87635603189125599</v>
      </c>
      <c r="S62" s="6">
        <f>IFERROR(Table1[[#This Row],[Revenue]]/Table1[[#This Row],[Spend]],0)</f>
        <v>1.876356031891256</v>
      </c>
      <c r="T62" s="4">
        <f>Table1[[#This Row],[Revenue]]-Table1[[#This Row],[Spend]]</f>
        <v>6705</v>
      </c>
      <c r="U62" s="4" t="str">
        <f>TEXT(Table1[[#This Row],[Date]],"MMM")</f>
        <v>Jan</v>
      </c>
      <c r="V62" s="4" t="str">
        <f>IF(Table1[[#This Row],[ROI (%)]]&gt;0,"Profitable","Loss-Making")</f>
        <v>Profitable</v>
      </c>
    </row>
    <row r="63" spans="1:22" x14ac:dyDescent="0.35">
      <c r="A63" s="1" t="s">
        <v>14</v>
      </c>
      <c r="B63" t="s">
        <v>11</v>
      </c>
      <c r="C63" t="s">
        <v>195</v>
      </c>
      <c r="D63" s="2">
        <v>5209</v>
      </c>
      <c r="E63">
        <v>56450</v>
      </c>
      <c r="F63">
        <v>4867</v>
      </c>
      <c r="G63">
        <v>728</v>
      </c>
      <c r="H63">
        <v>203</v>
      </c>
      <c r="I63" s="2">
        <v>36540</v>
      </c>
      <c r="J63" t="s">
        <v>196</v>
      </c>
      <c r="K63" s="3">
        <f>IFERROR(Table1[[#This Row],[Clicks]]/Table1[[#This Row],[Impressions]],0)</f>
        <v>8.6217891939769711E-2</v>
      </c>
      <c r="L63" s="3">
        <f>IFERROR(Table1[[#This Row],[Leads]]/Table1[[#This Row],[Clicks]],0)</f>
        <v>0.14957879597287857</v>
      </c>
      <c r="M63" s="3">
        <f>IFERROR(Table1[[#This Row],[Conversions]]/Table1[[#This Row],[Leads]],0)</f>
        <v>0.27884615384615385</v>
      </c>
      <c r="N63" s="3">
        <f>IFERROR(Table1[[#This Row],[Conversions]]/Table1[[#This Row],[Impressions]],0)</f>
        <v>3.5961027457927369E-3</v>
      </c>
      <c r="O63" s="4">
        <f>IFERROR(Table1[[#This Row],[Spend]]/Table1[[#This Row],[Leads]],0)</f>
        <v>7.1552197802197801</v>
      </c>
      <c r="P63" s="4">
        <f>IFERROR(Table1[[#This Row],[Spend]]/Table1[[#This Row],[Conversions]],0)</f>
        <v>25.660098522167488</v>
      </c>
      <c r="Q63" s="4">
        <f>IFERROR(Table1[[#This Row],[Revenue]]/Table1[[#This Row],[Conversions]],0)</f>
        <v>180</v>
      </c>
      <c r="R63" s="3">
        <f>IFERROR((Table1[[#This Row],[Revenue]]-Table1[[#This Row],[Spend]])/Table1[[#This Row],[Spend]],0)</f>
        <v>6.0147821078901904</v>
      </c>
      <c r="S63" s="6">
        <f>IFERROR(Table1[[#This Row],[Revenue]]/Table1[[#This Row],[Spend]],0)</f>
        <v>7.0147821078901904</v>
      </c>
      <c r="T63" s="4">
        <f>Table1[[#This Row],[Revenue]]-Table1[[#This Row],[Spend]]</f>
        <v>31331</v>
      </c>
      <c r="U63" s="4" t="str">
        <f>TEXT(Table1[[#This Row],[Date]],"MMM")</f>
        <v>Jan</v>
      </c>
      <c r="V63" s="4" t="str">
        <f>IF(Table1[[#This Row],[ROI (%)]]&gt;0,"Profitable","Loss-Making")</f>
        <v>Profitable</v>
      </c>
    </row>
    <row r="64" spans="1:22" x14ac:dyDescent="0.35">
      <c r="A64" s="1" t="s">
        <v>18</v>
      </c>
      <c r="B64" t="s">
        <v>28</v>
      </c>
      <c r="C64" t="s">
        <v>197</v>
      </c>
      <c r="D64" s="2">
        <v>6709</v>
      </c>
      <c r="E64">
        <v>90773</v>
      </c>
      <c r="F64">
        <v>4241</v>
      </c>
      <c r="G64">
        <v>1207</v>
      </c>
      <c r="H64">
        <v>75</v>
      </c>
      <c r="I64" s="2">
        <v>10650</v>
      </c>
      <c r="J64" t="s">
        <v>198</v>
      </c>
      <c r="K64" s="3">
        <f>IFERROR(Table1[[#This Row],[Clicks]]/Table1[[#This Row],[Impressions]],0)</f>
        <v>4.6720941249049824E-2</v>
      </c>
      <c r="L64" s="3">
        <f>IFERROR(Table1[[#This Row],[Leads]]/Table1[[#This Row],[Clicks]],0)</f>
        <v>0.28460268804527233</v>
      </c>
      <c r="M64" s="3">
        <f>IFERROR(Table1[[#This Row],[Conversions]]/Table1[[#This Row],[Leads]],0)</f>
        <v>6.2137531068765538E-2</v>
      </c>
      <c r="N64" s="3">
        <f>IFERROR(Table1[[#This Row],[Conversions]]/Table1[[#This Row],[Impressions]],0)</f>
        <v>8.2623687660427663E-4</v>
      </c>
      <c r="O64" s="4">
        <f>IFERROR(Table1[[#This Row],[Spend]]/Table1[[#This Row],[Leads]],0)</f>
        <v>5.55840927920464</v>
      </c>
      <c r="P64" s="4">
        <f>IFERROR(Table1[[#This Row],[Spend]]/Table1[[#This Row],[Conversions]],0)</f>
        <v>89.453333333333333</v>
      </c>
      <c r="Q64" s="4">
        <f>IFERROR(Table1[[#This Row],[Revenue]]/Table1[[#This Row],[Conversions]],0)</f>
        <v>142</v>
      </c>
      <c r="R64" s="3">
        <f>IFERROR((Table1[[#This Row],[Revenue]]-Table1[[#This Row],[Spend]])/Table1[[#This Row],[Spend]],0)</f>
        <v>0.58741988373826204</v>
      </c>
      <c r="S64" s="6">
        <f>IFERROR(Table1[[#This Row],[Revenue]]/Table1[[#This Row],[Spend]],0)</f>
        <v>1.587419883738262</v>
      </c>
      <c r="T64" s="4">
        <f>Table1[[#This Row],[Revenue]]-Table1[[#This Row],[Spend]]</f>
        <v>3941</v>
      </c>
      <c r="U64" s="4" t="str">
        <f>TEXT(Table1[[#This Row],[Date]],"MMM")</f>
        <v>Jan</v>
      </c>
      <c r="V64" s="4" t="str">
        <f>IF(Table1[[#This Row],[ROI (%)]]&gt;0,"Profitable","Loss-Making")</f>
        <v>Profitable</v>
      </c>
    </row>
    <row r="65" spans="1:22" x14ac:dyDescent="0.35">
      <c r="A65" s="1" t="s">
        <v>21</v>
      </c>
      <c r="B65" t="s">
        <v>11</v>
      </c>
      <c r="C65" t="s">
        <v>199</v>
      </c>
      <c r="D65" s="2">
        <v>5455</v>
      </c>
      <c r="E65">
        <v>54536</v>
      </c>
      <c r="F65">
        <v>4159</v>
      </c>
      <c r="G65">
        <v>753</v>
      </c>
      <c r="H65">
        <v>242</v>
      </c>
      <c r="I65" s="2">
        <v>45012</v>
      </c>
      <c r="J65" t="s">
        <v>200</v>
      </c>
      <c r="K65" s="3">
        <f>IFERROR(Table1[[#This Row],[Clicks]]/Table1[[#This Row],[Impressions]],0)</f>
        <v>7.6261552002347077E-2</v>
      </c>
      <c r="L65" s="3">
        <f>IFERROR(Table1[[#This Row],[Leads]]/Table1[[#This Row],[Clicks]],0)</f>
        <v>0.18105313777350324</v>
      </c>
      <c r="M65" s="3">
        <f>IFERROR(Table1[[#This Row],[Conversions]]/Table1[[#This Row],[Leads]],0)</f>
        <v>0.32138114209827356</v>
      </c>
      <c r="N65" s="3">
        <f>IFERROR(Table1[[#This Row],[Conversions]]/Table1[[#This Row],[Impressions]],0)</f>
        <v>4.4374358222091827E-3</v>
      </c>
      <c r="O65" s="4">
        <f>IFERROR(Table1[[#This Row],[Spend]]/Table1[[#This Row],[Leads]],0)</f>
        <v>7.2443559096945549</v>
      </c>
      <c r="P65" s="4">
        <f>IFERROR(Table1[[#This Row],[Spend]]/Table1[[#This Row],[Conversions]],0)</f>
        <v>22.541322314049587</v>
      </c>
      <c r="Q65" s="4">
        <f>IFERROR(Table1[[#This Row],[Revenue]]/Table1[[#This Row],[Conversions]],0)</f>
        <v>186</v>
      </c>
      <c r="R65" s="3">
        <f>IFERROR((Table1[[#This Row],[Revenue]]-Table1[[#This Row],[Spend]])/Table1[[#This Row],[Spend]],0)</f>
        <v>7.2515123739688363</v>
      </c>
      <c r="S65" s="6">
        <f>IFERROR(Table1[[#This Row],[Revenue]]/Table1[[#This Row],[Spend]],0)</f>
        <v>8.2515123739688363</v>
      </c>
      <c r="T65" s="4">
        <f>Table1[[#This Row],[Revenue]]-Table1[[#This Row],[Spend]]</f>
        <v>39557</v>
      </c>
      <c r="U65" s="4" t="str">
        <f>TEXT(Table1[[#This Row],[Date]],"MMM")</f>
        <v>Jan</v>
      </c>
      <c r="V65" s="4" t="str">
        <f>IF(Table1[[#This Row],[ROI (%)]]&gt;0,"Profitable","Loss-Making")</f>
        <v>Profitable</v>
      </c>
    </row>
    <row r="66" spans="1:22" x14ac:dyDescent="0.35">
      <c r="A66" s="1" t="s">
        <v>24</v>
      </c>
      <c r="B66" t="s">
        <v>28</v>
      </c>
      <c r="C66" t="s">
        <v>201</v>
      </c>
      <c r="D66" s="2">
        <v>7993</v>
      </c>
      <c r="E66">
        <v>86847</v>
      </c>
      <c r="F66">
        <v>5645</v>
      </c>
      <c r="G66">
        <v>1115</v>
      </c>
      <c r="H66">
        <v>85</v>
      </c>
      <c r="I66" s="2">
        <v>13515</v>
      </c>
      <c r="J66" t="s">
        <v>202</v>
      </c>
      <c r="K66" s="3">
        <f>IFERROR(Table1[[#This Row],[Clicks]]/Table1[[#This Row],[Impressions]],0)</f>
        <v>6.499936670236163E-2</v>
      </c>
      <c r="L66" s="3">
        <f>IFERROR(Table1[[#This Row],[Leads]]/Table1[[#This Row],[Clicks]],0)</f>
        <v>0.19751992914083261</v>
      </c>
      <c r="M66" s="3">
        <f>IFERROR(Table1[[#This Row],[Conversions]]/Table1[[#This Row],[Leads]],0)</f>
        <v>7.623318385650224E-2</v>
      </c>
      <c r="N66" s="3">
        <f>IFERROR(Table1[[#This Row],[Conversions]]/Table1[[#This Row],[Impressions]],0)</f>
        <v>9.787327138530979E-4</v>
      </c>
      <c r="O66" s="4">
        <f>IFERROR(Table1[[#This Row],[Spend]]/Table1[[#This Row],[Leads]],0)</f>
        <v>7.1686098654708523</v>
      </c>
      <c r="P66" s="4">
        <f>IFERROR(Table1[[#This Row],[Spend]]/Table1[[#This Row],[Conversions]],0)</f>
        <v>94.035294117647055</v>
      </c>
      <c r="Q66" s="4">
        <f>IFERROR(Table1[[#This Row],[Revenue]]/Table1[[#This Row],[Conversions]],0)</f>
        <v>159</v>
      </c>
      <c r="R66" s="3">
        <f>IFERROR((Table1[[#This Row],[Revenue]]-Table1[[#This Row],[Spend]])/Table1[[#This Row],[Spend]],0)</f>
        <v>0.6908544976854748</v>
      </c>
      <c r="S66" s="6">
        <f>IFERROR(Table1[[#This Row],[Revenue]]/Table1[[#This Row],[Spend]],0)</f>
        <v>1.6908544976854747</v>
      </c>
      <c r="T66" s="4">
        <f>Table1[[#This Row],[Revenue]]-Table1[[#This Row],[Spend]]</f>
        <v>5522</v>
      </c>
      <c r="U66" s="4" t="str">
        <f>TEXT(Table1[[#This Row],[Date]],"MMM")</f>
        <v>Jan</v>
      </c>
      <c r="V66" s="4" t="str">
        <f>IF(Table1[[#This Row],[ROI (%)]]&gt;0,"Profitable","Loss-Making")</f>
        <v>Profitable</v>
      </c>
    </row>
    <row r="67" spans="1:22" x14ac:dyDescent="0.35">
      <c r="A67" s="1" t="s">
        <v>27</v>
      </c>
      <c r="B67" t="s">
        <v>15</v>
      </c>
      <c r="C67" t="s">
        <v>203</v>
      </c>
      <c r="D67" s="2">
        <v>10126</v>
      </c>
      <c r="E67">
        <v>37997</v>
      </c>
      <c r="F67">
        <v>2364</v>
      </c>
      <c r="G67">
        <v>380</v>
      </c>
      <c r="H67">
        <v>50</v>
      </c>
      <c r="I67" s="2">
        <v>9550</v>
      </c>
      <c r="J67" t="s">
        <v>204</v>
      </c>
      <c r="K67" s="3">
        <f>IFERROR(Table1[[#This Row],[Clicks]]/Table1[[#This Row],[Impressions]],0)</f>
        <v>6.2215438060899547E-2</v>
      </c>
      <c r="L67" s="3">
        <f>IFERROR(Table1[[#This Row],[Leads]]/Table1[[#This Row],[Clicks]],0)</f>
        <v>0.16074450084602368</v>
      </c>
      <c r="M67" s="3">
        <f>IFERROR(Table1[[#This Row],[Conversions]]/Table1[[#This Row],[Leads]],0)</f>
        <v>0.13157894736842105</v>
      </c>
      <c r="N67" s="3">
        <f>IFERROR(Table1[[#This Row],[Conversions]]/Table1[[#This Row],[Impressions]],0)</f>
        <v>1.3158933600021054E-3</v>
      </c>
      <c r="O67" s="4">
        <f>IFERROR(Table1[[#This Row],[Spend]]/Table1[[#This Row],[Leads]],0)</f>
        <v>26.647368421052633</v>
      </c>
      <c r="P67" s="4">
        <f>IFERROR(Table1[[#This Row],[Spend]]/Table1[[#This Row],[Conversions]],0)</f>
        <v>202.52</v>
      </c>
      <c r="Q67" s="4">
        <f>IFERROR(Table1[[#This Row],[Revenue]]/Table1[[#This Row],[Conversions]],0)</f>
        <v>191</v>
      </c>
      <c r="R67" s="3">
        <f>IFERROR((Table1[[#This Row],[Revenue]]-Table1[[#This Row],[Spend]])/Table1[[#This Row],[Spend]],0)</f>
        <v>-5.6883270788070317E-2</v>
      </c>
      <c r="S67" s="6">
        <f>IFERROR(Table1[[#This Row],[Revenue]]/Table1[[#This Row],[Spend]],0)</f>
        <v>0.94311672921192968</v>
      </c>
      <c r="T67" s="4">
        <f>Table1[[#This Row],[Revenue]]-Table1[[#This Row],[Spend]]</f>
        <v>-576</v>
      </c>
      <c r="U67" s="4" t="str">
        <f>TEXT(Table1[[#This Row],[Date]],"MMM")</f>
        <v>Jan</v>
      </c>
      <c r="V67" s="4" t="str">
        <f>IF(Table1[[#This Row],[ROI (%)]]&gt;0,"Profitable","Loss-Making")</f>
        <v>Loss-Making</v>
      </c>
    </row>
    <row r="68" spans="1:22" x14ac:dyDescent="0.35">
      <c r="A68" s="1" t="s">
        <v>31</v>
      </c>
      <c r="B68" t="s">
        <v>28</v>
      </c>
      <c r="C68" t="s">
        <v>205</v>
      </c>
      <c r="D68" s="2">
        <v>6457</v>
      </c>
      <c r="E68">
        <v>90745</v>
      </c>
      <c r="F68">
        <v>4977</v>
      </c>
      <c r="G68">
        <v>1014</v>
      </c>
      <c r="H68">
        <v>45</v>
      </c>
      <c r="I68" s="2">
        <v>5670</v>
      </c>
      <c r="J68" t="s">
        <v>206</v>
      </c>
      <c r="K68" s="3">
        <f>IFERROR(Table1[[#This Row],[Clicks]]/Table1[[#This Row],[Impressions]],0)</f>
        <v>5.4845997024629459E-2</v>
      </c>
      <c r="L68" s="3">
        <f>IFERROR(Table1[[#This Row],[Leads]]/Table1[[#This Row],[Clicks]],0)</f>
        <v>0.20373719107896324</v>
      </c>
      <c r="M68" s="3">
        <f>IFERROR(Table1[[#This Row],[Conversions]]/Table1[[#This Row],[Leads]],0)</f>
        <v>4.4378698224852069E-2</v>
      </c>
      <c r="N68" s="3">
        <f>IFERROR(Table1[[#This Row],[Conversions]]/Table1[[#This Row],[Impressions]],0)</f>
        <v>4.9589509063860263E-4</v>
      </c>
      <c r="O68" s="4">
        <f>IFERROR(Table1[[#This Row],[Spend]]/Table1[[#This Row],[Leads]],0)</f>
        <v>6.3678500986193294</v>
      </c>
      <c r="P68" s="4">
        <f>IFERROR(Table1[[#This Row],[Spend]]/Table1[[#This Row],[Conversions]],0)</f>
        <v>143.48888888888888</v>
      </c>
      <c r="Q68" s="4">
        <f>IFERROR(Table1[[#This Row],[Revenue]]/Table1[[#This Row],[Conversions]],0)</f>
        <v>126</v>
      </c>
      <c r="R68" s="3">
        <f>IFERROR((Table1[[#This Row],[Revenue]]-Table1[[#This Row],[Spend]])/Table1[[#This Row],[Spend]],0)</f>
        <v>-0.1218832275050333</v>
      </c>
      <c r="S68" s="6">
        <f>IFERROR(Table1[[#This Row],[Revenue]]/Table1[[#This Row],[Spend]],0)</f>
        <v>0.87811677249496667</v>
      </c>
      <c r="T68" s="4">
        <f>Table1[[#This Row],[Revenue]]-Table1[[#This Row],[Spend]]</f>
        <v>-787</v>
      </c>
      <c r="U68" s="4" t="str">
        <f>TEXT(Table1[[#This Row],[Date]],"MMM")</f>
        <v>Jan</v>
      </c>
      <c r="V68" s="4" t="str">
        <f>IF(Table1[[#This Row],[ROI (%)]]&gt;0,"Profitable","Loss-Making")</f>
        <v>Loss-Making</v>
      </c>
    </row>
    <row r="69" spans="1:22" x14ac:dyDescent="0.35">
      <c r="A69" s="1" t="s">
        <v>34</v>
      </c>
      <c r="B69" t="s">
        <v>28</v>
      </c>
      <c r="C69" t="s">
        <v>207</v>
      </c>
      <c r="D69" s="2">
        <v>6780</v>
      </c>
      <c r="E69">
        <v>70608</v>
      </c>
      <c r="F69">
        <v>5597</v>
      </c>
      <c r="G69">
        <v>1181</v>
      </c>
      <c r="H69">
        <v>97</v>
      </c>
      <c r="I69" s="2">
        <v>13871</v>
      </c>
      <c r="J69" t="s">
        <v>208</v>
      </c>
      <c r="K69" s="3">
        <f>IFERROR(Table1[[#This Row],[Clicks]]/Table1[[#This Row],[Impressions]],0)</f>
        <v>7.9268638114661227E-2</v>
      </c>
      <c r="L69" s="3">
        <f>IFERROR(Table1[[#This Row],[Leads]]/Table1[[#This Row],[Clicks]],0)</f>
        <v>0.2110058960157227</v>
      </c>
      <c r="M69" s="3">
        <f>IFERROR(Table1[[#This Row],[Conversions]]/Table1[[#This Row],[Leads]],0)</f>
        <v>8.2133784928027101E-2</v>
      </c>
      <c r="N69" s="3">
        <f>IFERROR(Table1[[#This Row],[Conversions]]/Table1[[#This Row],[Impressions]],0)</f>
        <v>1.3737820077045094E-3</v>
      </c>
      <c r="O69" s="4">
        <f>IFERROR(Table1[[#This Row],[Spend]]/Table1[[#This Row],[Leads]],0)</f>
        <v>5.740897544453853</v>
      </c>
      <c r="P69" s="4">
        <f>IFERROR(Table1[[#This Row],[Spend]]/Table1[[#This Row],[Conversions]],0)</f>
        <v>69.896907216494839</v>
      </c>
      <c r="Q69" s="4">
        <f>IFERROR(Table1[[#This Row],[Revenue]]/Table1[[#This Row],[Conversions]],0)</f>
        <v>143</v>
      </c>
      <c r="R69" s="3">
        <f>IFERROR((Table1[[#This Row],[Revenue]]-Table1[[#This Row],[Spend]])/Table1[[#This Row],[Spend]],0)</f>
        <v>1.0458702064896754</v>
      </c>
      <c r="S69" s="6">
        <f>IFERROR(Table1[[#This Row],[Revenue]]/Table1[[#This Row],[Spend]],0)</f>
        <v>2.0458702064896754</v>
      </c>
      <c r="T69" s="4">
        <f>Table1[[#This Row],[Revenue]]-Table1[[#This Row],[Spend]]</f>
        <v>7091</v>
      </c>
      <c r="U69" s="4" t="str">
        <f>TEXT(Table1[[#This Row],[Date]],"MMM")</f>
        <v>Jan</v>
      </c>
      <c r="V69" s="4" t="str">
        <f>IF(Table1[[#This Row],[ROI (%)]]&gt;0,"Profitable","Loss-Making")</f>
        <v>Profitable</v>
      </c>
    </row>
    <row r="70" spans="1:22" x14ac:dyDescent="0.35">
      <c r="A70" s="1" t="s">
        <v>37</v>
      </c>
      <c r="B70" t="s">
        <v>11</v>
      </c>
      <c r="C70" t="s">
        <v>209</v>
      </c>
      <c r="D70" s="2">
        <v>6809</v>
      </c>
      <c r="E70">
        <v>53384</v>
      </c>
      <c r="F70">
        <v>4973</v>
      </c>
      <c r="G70">
        <v>826</v>
      </c>
      <c r="H70">
        <v>204</v>
      </c>
      <c r="I70" s="2">
        <v>42432</v>
      </c>
      <c r="J70" t="s">
        <v>210</v>
      </c>
      <c r="K70" s="3">
        <f>IFERROR(Table1[[#This Row],[Clicks]]/Table1[[#This Row],[Impressions]],0)</f>
        <v>9.3155252510115388E-2</v>
      </c>
      <c r="L70" s="3">
        <f>IFERROR(Table1[[#This Row],[Leads]]/Table1[[#This Row],[Clicks]],0)</f>
        <v>0.16609692338628596</v>
      </c>
      <c r="M70" s="3">
        <f>IFERROR(Table1[[#This Row],[Conversions]]/Table1[[#This Row],[Leads]],0)</f>
        <v>0.24697336561743341</v>
      </c>
      <c r="N70" s="3">
        <f>IFERROR(Table1[[#This Row],[Conversions]]/Table1[[#This Row],[Impressions]],0)</f>
        <v>3.8213696987861533E-3</v>
      </c>
      <c r="O70" s="4">
        <f>IFERROR(Table1[[#This Row],[Spend]]/Table1[[#This Row],[Leads]],0)</f>
        <v>8.2433414043583539</v>
      </c>
      <c r="P70" s="4">
        <f>IFERROR(Table1[[#This Row],[Spend]]/Table1[[#This Row],[Conversions]],0)</f>
        <v>33.377450980392155</v>
      </c>
      <c r="Q70" s="4">
        <f>IFERROR(Table1[[#This Row],[Revenue]]/Table1[[#This Row],[Conversions]],0)</f>
        <v>208</v>
      </c>
      <c r="R70" s="3">
        <f>IFERROR((Table1[[#This Row],[Revenue]]-Table1[[#This Row],[Spend]])/Table1[[#This Row],[Spend]],0)</f>
        <v>5.2317520928183283</v>
      </c>
      <c r="S70" s="6">
        <f>IFERROR(Table1[[#This Row],[Revenue]]/Table1[[#This Row],[Spend]],0)</f>
        <v>6.2317520928183283</v>
      </c>
      <c r="T70" s="4">
        <f>Table1[[#This Row],[Revenue]]-Table1[[#This Row],[Spend]]</f>
        <v>35623</v>
      </c>
      <c r="U70" s="4" t="str">
        <f>TEXT(Table1[[#This Row],[Date]],"MMM")</f>
        <v>Jan</v>
      </c>
      <c r="V70" s="4" t="str">
        <f>IF(Table1[[#This Row],[ROI (%)]]&gt;0,"Profitable","Loss-Making")</f>
        <v>Profitable</v>
      </c>
    </row>
    <row r="71" spans="1:22" x14ac:dyDescent="0.35">
      <c r="A71" s="1" t="s">
        <v>40</v>
      </c>
      <c r="B71" t="s">
        <v>15</v>
      </c>
      <c r="C71" t="s">
        <v>211</v>
      </c>
      <c r="D71" s="2">
        <v>13502</v>
      </c>
      <c r="E71">
        <v>26615</v>
      </c>
      <c r="F71">
        <v>1771</v>
      </c>
      <c r="G71">
        <v>368</v>
      </c>
      <c r="H71">
        <v>29</v>
      </c>
      <c r="I71" s="2">
        <v>5162</v>
      </c>
      <c r="J71" t="s">
        <v>212</v>
      </c>
      <c r="K71" s="3">
        <f>IFERROR(Table1[[#This Row],[Clicks]]/Table1[[#This Row],[Impressions]],0)</f>
        <v>6.6541424009017469E-2</v>
      </c>
      <c r="L71" s="3">
        <f>IFERROR(Table1[[#This Row],[Leads]]/Table1[[#This Row],[Clicks]],0)</f>
        <v>0.20779220779220781</v>
      </c>
      <c r="M71" s="3">
        <f>IFERROR(Table1[[#This Row],[Conversions]]/Table1[[#This Row],[Leads]],0)</f>
        <v>7.880434782608696E-2</v>
      </c>
      <c r="N71" s="3">
        <f>IFERROR(Table1[[#This Row],[Conversions]]/Table1[[#This Row],[Impressions]],0)</f>
        <v>1.0896111215479992E-3</v>
      </c>
      <c r="O71" s="4">
        <f>IFERROR(Table1[[#This Row],[Spend]]/Table1[[#This Row],[Leads]],0)</f>
        <v>36.690217391304351</v>
      </c>
      <c r="P71" s="4">
        <f>IFERROR(Table1[[#This Row],[Spend]]/Table1[[#This Row],[Conversions]],0)</f>
        <v>465.58620689655174</v>
      </c>
      <c r="Q71" s="4">
        <f>IFERROR(Table1[[#This Row],[Revenue]]/Table1[[#This Row],[Conversions]],0)</f>
        <v>178</v>
      </c>
      <c r="R71" s="3">
        <f>IFERROR((Table1[[#This Row],[Revenue]]-Table1[[#This Row],[Spend]])/Table1[[#This Row],[Spend]],0)</f>
        <v>-0.61768626870093324</v>
      </c>
      <c r="S71" s="6">
        <f>IFERROR(Table1[[#This Row],[Revenue]]/Table1[[#This Row],[Spend]],0)</f>
        <v>0.38231373129906682</v>
      </c>
      <c r="T71" s="4">
        <f>Table1[[#This Row],[Revenue]]-Table1[[#This Row],[Spend]]</f>
        <v>-8340</v>
      </c>
      <c r="U71" s="4" t="str">
        <f>TEXT(Table1[[#This Row],[Date]],"MMM")</f>
        <v>Jan</v>
      </c>
      <c r="V71" s="4" t="str">
        <f>IF(Table1[[#This Row],[ROI (%)]]&gt;0,"Profitable","Loss-Making")</f>
        <v>Loss-Making</v>
      </c>
    </row>
    <row r="72" spans="1:22" x14ac:dyDescent="0.35">
      <c r="A72" s="1" t="s">
        <v>43</v>
      </c>
      <c r="B72" t="s">
        <v>28</v>
      </c>
      <c r="C72" t="s">
        <v>213</v>
      </c>
      <c r="D72" s="2">
        <v>8857</v>
      </c>
      <c r="E72">
        <v>97099</v>
      </c>
      <c r="F72">
        <v>5893</v>
      </c>
      <c r="G72">
        <v>1120</v>
      </c>
      <c r="H72">
        <v>49</v>
      </c>
      <c r="I72" s="2">
        <v>7546</v>
      </c>
      <c r="J72" t="s">
        <v>214</v>
      </c>
      <c r="K72" s="3">
        <f>IFERROR(Table1[[#This Row],[Clicks]]/Table1[[#This Row],[Impressions]],0)</f>
        <v>6.0690635330950884E-2</v>
      </c>
      <c r="L72" s="3">
        <f>IFERROR(Table1[[#This Row],[Leads]]/Table1[[#This Row],[Clicks]],0)</f>
        <v>0.19005599864245715</v>
      </c>
      <c r="M72" s="3">
        <f>IFERROR(Table1[[#This Row],[Conversions]]/Table1[[#This Row],[Leads]],0)</f>
        <v>4.3749999999999997E-2</v>
      </c>
      <c r="N72" s="3">
        <f>IFERROR(Table1[[#This Row],[Conversions]]/Table1[[#This Row],[Impressions]],0)</f>
        <v>5.0463959464052148E-4</v>
      </c>
      <c r="O72" s="4">
        <f>IFERROR(Table1[[#This Row],[Spend]]/Table1[[#This Row],[Leads]],0)</f>
        <v>7.9080357142857141</v>
      </c>
      <c r="P72" s="4">
        <f>IFERROR(Table1[[#This Row],[Spend]]/Table1[[#This Row],[Conversions]],0)</f>
        <v>180.75510204081633</v>
      </c>
      <c r="Q72" s="4">
        <f>IFERROR(Table1[[#This Row],[Revenue]]/Table1[[#This Row],[Conversions]],0)</f>
        <v>154</v>
      </c>
      <c r="R72" s="3">
        <f>IFERROR((Table1[[#This Row],[Revenue]]-Table1[[#This Row],[Spend]])/Table1[[#This Row],[Spend]],0)</f>
        <v>-0.14801851642768432</v>
      </c>
      <c r="S72" s="6">
        <f>IFERROR(Table1[[#This Row],[Revenue]]/Table1[[#This Row],[Spend]],0)</f>
        <v>0.85198148357231573</v>
      </c>
      <c r="T72" s="4">
        <f>Table1[[#This Row],[Revenue]]-Table1[[#This Row],[Spend]]</f>
        <v>-1311</v>
      </c>
      <c r="U72" s="4" t="str">
        <f>TEXT(Table1[[#This Row],[Date]],"MMM")</f>
        <v>Jan</v>
      </c>
      <c r="V72" s="4" t="str">
        <f>IF(Table1[[#This Row],[ROI (%)]]&gt;0,"Profitable","Loss-Making")</f>
        <v>Loss-Making</v>
      </c>
    </row>
    <row r="73" spans="1:22" x14ac:dyDescent="0.35">
      <c r="A73" s="1" t="s">
        <v>46</v>
      </c>
      <c r="B73" t="s">
        <v>11</v>
      </c>
      <c r="C73" t="s">
        <v>215</v>
      </c>
      <c r="D73" s="2">
        <v>6436</v>
      </c>
      <c r="E73">
        <v>57933</v>
      </c>
      <c r="F73">
        <v>4807</v>
      </c>
      <c r="G73">
        <v>959</v>
      </c>
      <c r="H73">
        <v>188</v>
      </c>
      <c r="I73" s="2">
        <v>44932</v>
      </c>
      <c r="J73" t="s">
        <v>216</v>
      </c>
      <c r="K73" s="3">
        <f>IFERROR(Table1[[#This Row],[Clicks]]/Table1[[#This Row],[Impressions]],0)</f>
        <v>8.2975160961800701E-2</v>
      </c>
      <c r="L73" s="3">
        <f>IFERROR(Table1[[#This Row],[Leads]]/Table1[[#This Row],[Clicks]],0)</f>
        <v>0.19950072810484709</v>
      </c>
      <c r="M73" s="3">
        <f>IFERROR(Table1[[#This Row],[Conversions]]/Table1[[#This Row],[Leads]],0)</f>
        <v>0.19603753910323254</v>
      </c>
      <c r="N73" s="3">
        <f>IFERROR(Table1[[#This Row],[Conversions]]/Table1[[#This Row],[Impressions]],0)</f>
        <v>3.2451279926812007E-3</v>
      </c>
      <c r="O73" s="4">
        <f>IFERROR(Table1[[#This Row],[Spend]]/Table1[[#This Row],[Leads]],0)</f>
        <v>6.7111574556830034</v>
      </c>
      <c r="P73" s="4">
        <f>IFERROR(Table1[[#This Row],[Spend]]/Table1[[#This Row],[Conversions]],0)</f>
        <v>34.234042553191486</v>
      </c>
      <c r="Q73" s="4">
        <f>IFERROR(Table1[[#This Row],[Revenue]]/Table1[[#This Row],[Conversions]],0)</f>
        <v>239</v>
      </c>
      <c r="R73" s="3">
        <f>IFERROR((Table1[[#This Row],[Revenue]]-Table1[[#This Row],[Spend]])/Table1[[#This Row],[Spend]],0)</f>
        <v>5.9813548788067123</v>
      </c>
      <c r="S73" s="6">
        <f>IFERROR(Table1[[#This Row],[Revenue]]/Table1[[#This Row],[Spend]],0)</f>
        <v>6.9813548788067123</v>
      </c>
      <c r="T73" s="4">
        <f>Table1[[#This Row],[Revenue]]-Table1[[#This Row],[Spend]]</f>
        <v>38496</v>
      </c>
      <c r="U73" s="4" t="str">
        <f>TEXT(Table1[[#This Row],[Date]],"MMM")</f>
        <v>Jan</v>
      </c>
      <c r="V73" s="4" t="str">
        <f>IF(Table1[[#This Row],[ROI (%)]]&gt;0,"Profitable","Loss-Making")</f>
        <v>Profitable</v>
      </c>
    </row>
    <row r="74" spans="1:22" x14ac:dyDescent="0.35">
      <c r="A74" s="1" t="s">
        <v>49</v>
      </c>
      <c r="B74" t="s">
        <v>11</v>
      </c>
      <c r="C74" t="s">
        <v>217</v>
      </c>
      <c r="D74" s="2">
        <v>5137</v>
      </c>
      <c r="E74">
        <v>48784</v>
      </c>
      <c r="F74">
        <v>4097</v>
      </c>
      <c r="G74">
        <v>771</v>
      </c>
      <c r="H74">
        <v>214</v>
      </c>
      <c r="I74" s="2">
        <v>39804</v>
      </c>
      <c r="J74" t="s">
        <v>218</v>
      </c>
      <c r="K74" s="3">
        <f>IFERROR(Table1[[#This Row],[Clicks]]/Table1[[#This Row],[Impressions]],0)</f>
        <v>8.3982453263365037E-2</v>
      </c>
      <c r="L74" s="3">
        <f>IFERROR(Table1[[#This Row],[Leads]]/Table1[[#This Row],[Clicks]],0)</f>
        <v>0.18818647791066634</v>
      </c>
      <c r="M74" s="3">
        <f>IFERROR(Table1[[#This Row],[Conversions]]/Table1[[#This Row],[Leads]],0)</f>
        <v>0.27756160830090792</v>
      </c>
      <c r="N74" s="3">
        <f>IFERROR(Table1[[#This Row],[Conversions]]/Table1[[#This Row],[Impressions]],0)</f>
        <v>4.3866841587405711E-3</v>
      </c>
      <c r="O74" s="4">
        <f>IFERROR(Table1[[#This Row],[Spend]]/Table1[[#This Row],[Leads]],0)</f>
        <v>6.6627756160830094</v>
      </c>
      <c r="P74" s="4">
        <f>IFERROR(Table1[[#This Row],[Spend]]/Table1[[#This Row],[Conversions]],0)</f>
        <v>24.004672897196262</v>
      </c>
      <c r="Q74" s="4">
        <f>IFERROR(Table1[[#This Row],[Revenue]]/Table1[[#This Row],[Conversions]],0)</f>
        <v>186</v>
      </c>
      <c r="R74" s="3">
        <f>IFERROR((Table1[[#This Row],[Revenue]]-Table1[[#This Row],[Spend]])/Table1[[#This Row],[Spend]],0)</f>
        <v>6.7484913373564339</v>
      </c>
      <c r="S74" s="6">
        <f>IFERROR(Table1[[#This Row],[Revenue]]/Table1[[#This Row],[Spend]],0)</f>
        <v>7.7484913373564339</v>
      </c>
      <c r="T74" s="4">
        <f>Table1[[#This Row],[Revenue]]-Table1[[#This Row],[Spend]]</f>
        <v>34667</v>
      </c>
      <c r="U74" s="4" t="str">
        <f>TEXT(Table1[[#This Row],[Date]],"MMM")</f>
        <v>Jan</v>
      </c>
      <c r="V74" s="4" t="str">
        <f>IF(Table1[[#This Row],[ROI (%)]]&gt;0,"Profitable","Loss-Making")</f>
        <v>Profitable</v>
      </c>
    </row>
    <row r="75" spans="1:22" x14ac:dyDescent="0.35">
      <c r="A75" s="1" t="s">
        <v>52</v>
      </c>
      <c r="B75" t="s">
        <v>28</v>
      </c>
      <c r="C75" t="s">
        <v>219</v>
      </c>
      <c r="D75" s="2">
        <v>6167</v>
      </c>
      <c r="E75">
        <v>76580</v>
      </c>
      <c r="F75">
        <v>5952</v>
      </c>
      <c r="G75">
        <v>1484</v>
      </c>
      <c r="H75">
        <v>75</v>
      </c>
      <c r="I75" s="2">
        <v>11775</v>
      </c>
      <c r="J75" t="s">
        <v>220</v>
      </c>
      <c r="K75" s="3">
        <f>IFERROR(Table1[[#This Row],[Clicks]]/Table1[[#This Row],[Impressions]],0)</f>
        <v>7.7722642987725257E-2</v>
      </c>
      <c r="L75" s="3">
        <f>IFERROR(Table1[[#This Row],[Leads]]/Table1[[#This Row],[Clicks]],0)</f>
        <v>0.24932795698924731</v>
      </c>
      <c r="M75" s="3">
        <f>IFERROR(Table1[[#This Row],[Conversions]]/Table1[[#This Row],[Leads]],0)</f>
        <v>5.0539083557951482E-2</v>
      </c>
      <c r="N75" s="3">
        <f>IFERROR(Table1[[#This Row],[Conversions]]/Table1[[#This Row],[Impressions]],0)</f>
        <v>9.7936798119613484E-4</v>
      </c>
      <c r="O75" s="4">
        <f>IFERROR(Table1[[#This Row],[Spend]]/Table1[[#This Row],[Leads]],0)</f>
        <v>4.1556603773584904</v>
      </c>
      <c r="P75" s="4">
        <f>IFERROR(Table1[[#This Row],[Spend]]/Table1[[#This Row],[Conversions]],0)</f>
        <v>82.226666666666674</v>
      </c>
      <c r="Q75" s="4">
        <f>IFERROR(Table1[[#This Row],[Revenue]]/Table1[[#This Row],[Conversions]],0)</f>
        <v>157</v>
      </c>
      <c r="R75" s="3">
        <f>IFERROR((Table1[[#This Row],[Revenue]]-Table1[[#This Row],[Spend]])/Table1[[#This Row],[Spend]],0)</f>
        <v>0.90935625101345874</v>
      </c>
      <c r="S75" s="6">
        <f>IFERROR(Table1[[#This Row],[Revenue]]/Table1[[#This Row],[Spend]],0)</f>
        <v>1.9093562510134587</v>
      </c>
      <c r="T75" s="4">
        <f>Table1[[#This Row],[Revenue]]-Table1[[#This Row],[Spend]]</f>
        <v>5608</v>
      </c>
      <c r="U75" s="4" t="str">
        <f>TEXT(Table1[[#This Row],[Date]],"MMM")</f>
        <v>Jan</v>
      </c>
      <c r="V75" s="4" t="str">
        <f>IF(Table1[[#This Row],[ROI (%)]]&gt;0,"Profitable","Loss-Making")</f>
        <v>Profitable</v>
      </c>
    </row>
    <row r="76" spans="1:22" x14ac:dyDescent="0.35">
      <c r="A76" s="1" t="s">
        <v>55</v>
      </c>
      <c r="B76" t="s">
        <v>28</v>
      </c>
      <c r="C76" t="s">
        <v>221</v>
      </c>
      <c r="D76" s="2">
        <v>6879</v>
      </c>
      <c r="E76">
        <v>86015</v>
      </c>
      <c r="F76">
        <v>4076</v>
      </c>
      <c r="G76">
        <v>1489</v>
      </c>
      <c r="H76">
        <v>84</v>
      </c>
      <c r="I76" s="2">
        <v>10164</v>
      </c>
      <c r="J76" t="s">
        <v>222</v>
      </c>
      <c r="K76" s="3">
        <f>IFERROR(Table1[[#This Row],[Clicks]]/Table1[[#This Row],[Impressions]],0)</f>
        <v>4.7387083648200892E-2</v>
      </c>
      <c r="L76" s="3">
        <f>IFERROR(Table1[[#This Row],[Leads]]/Table1[[#This Row],[Clicks]],0)</f>
        <v>0.36530912659470066</v>
      </c>
      <c r="M76" s="3">
        <f>IFERROR(Table1[[#This Row],[Conversions]]/Table1[[#This Row],[Leads]],0)</f>
        <v>5.6413700470114174E-2</v>
      </c>
      <c r="N76" s="3">
        <f>IFERROR(Table1[[#This Row],[Conversions]]/Table1[[#This Row],[Impressions]],0)</f>
        <v>9.7657385339766319E-4</v>
      </c>
      <c r="O76" s="4">
        <f>IFERROR(Table1[[#This Row],[Spend]]/Table1[[#This Row],[Leads]],0)</f>
        <v>4.6198791134989925</v>
      </c>
      <c r="P76" s="4">
        <f>IFERROR(Table1[[#This Row],[Spend]]/Table1[[#This Row],[Conversions]],0)</f>
        <v>81.892857142857139</v>
      </c>
      <c r="Q76" s="4">
        <f>IFERROR(Table1[[#This Row],[Revenue]]/Table1[[#This Row],[Conversions]],0)</f>
        <v>121</v>
      </c>
      <c r="R76" s="3">
        <f>IFERROR((Table1[[#This Row],[Revenue]]-Table1[[#This Row],[Spend]])/Table1[[#This Row],[Spend]],0)</f>
        <v>0.47754034016572178</v>
      </c>
      <c r="S76" s="6">
        <f>IFERROR(Table1[[#This Row],[Revenue]]/Table1[[#This Row],[Spend]],0)</f>
        <v>1.4775403401657217</v>
      </c>
      <c r="T76" s="4">
        <f>Table1[[#This Row],[Revenue]]-Table1[[#This Row],[Spend]]</f>
        <v>3285</v>
      </c>
      <c r="U76" s="4" t="str">
        <f>TEXT(Table1[[#This Row],[Date]],"MMM")</f>
        <v>Jan</v>
      </c>
      <c r="V76" s="4" t="str">
        <f>IF(Table1[[#This Row],[ROI (%)]]&gt;0,"Profitable","Loss-Making")</f>
        <v>Profitable</v>
      </c>
    </row>
    <row r="77" spans="1:22" x14ac:dyDescent="0.35">
      <c r="A77" s="1" t="s">
        <v>58</v>
      </c>
      <c r="B77" t="s">
        <v>15</v>
      </c>
      <c r="C77" t="s">
        <v>223</v>
      </c>
      <c r="D77" s="2">
        <v>10790</v>
      </c>
      <c r="E77">
        <v>31551</v>
      </c>
      <c r="F77">
        <v>1875</v>
      </c>
      <c r="G77">
        <v>267</v>
      </c>
      <c r="H77">
        <v>57</v>
      </c>
      <c r="I77" s="2">
        <v>10089</v>
      </c>
      <c r="J77" t="s">
        <v>224</v>
      </c>
      <c r="K77" s="3">
        <f>IFERROR(Table1[[#This Row],[Clicks]]/Table1[[#This Row],[Impressions]],0)</f>
        <v>5.9427593420176859E-2</v>
      </c>
      <c r="L77" s="3">
        <f>IFERROR(Table1[[#This Row],[Leads]]/Table1[[#This Row],[Clicks]],0)</f>
        <v>0.1424</v>
      </c>
      <c r="M77" s="3">
        <f>IFERROR(Table1[[#This Row],[Conversions]]/Table1[[#This Row],[Leads]],0)</f>
        <v>0.21348314606741572</v>
      </c>
      <c r="N77" s="3">
        <f>IFERROR(Table1[[#This Row],[Conversions]]/Table1[[#This Row],[Impressions]],0)</f>
        <v>1.8065988399733764E-3</v>
      </c>
      <c r="O77" s="4">
        <f>IFERROR(Table1[[#This Row],[Spend]]/Table1[[#This Row],[Leads]],0)</f>
        <v>40.41198501872659</v>
      </c>
      <c r="P77" s="4">
        <f>IFERROR(Table1[[#This Row],[Spend]]/Table1[[#This Row],[Conversions]],0)</f>
        <v>189.2982456140351</v>
      </c>
      <c r="Q77" s="4">
        <f>IFERROR(Table1[[#This Row],[Revenue]]/Table1[[#This Row],[Conversions]],0)</f>
        <v>177</v>
      </c>
      <c r="R77" s="3">
        <f>IFERROR((Table1[[#This Row],[Revenue]]-Table1[[#This Row],[Spend]])/Table1[[#This Row],[Spend]],0)</f>
        <v>-6.4967562557924005E-2</v>
      </c>
      <c r="S77" s="6">
        <f>IFERROR(Table1[[#This Row],[Revenue]]/Table1[[#This Row],[Spend]],0)</f>
        <v>0.93503243744207598</v>
      </c>
      <c r="T77" s="4">
        <f>Table1[[#This Row],[Revenue]]-Table1[[#This Row],[Spend]]</f>
        <v>-701</v>
      </c>
      <c r="U77" s="4" t="str">
        <f>TEXT(Table1[[#This Row],[Date]],"MMM")</f>
        <v>Jan</v>
      </c>
      <c r="V77" s="4" t="str">
        <f>IF(Table1[[#This Row],[ROI (%)]]&gt;0,"Profitable","Loss-Making")</f>
        <v>Loss-Making</v>
      </c>
    </row>
    <row r="78" spans="1:22" x14ac:dyDescent="0.35">
      <c r="A78" s="1" t="s">
        <v>61</v>
      </c>
      <c r="B78" t="s">
        <v>28</v>
      </c>
      <c r="C78" t="s">
        <v>225</v>
      </c>
      <c r="D78" s="2">
        <v>6653</v>
      </c>
      <c r="E78">
        <v>91309</v>
      </c>
      <c r="F78">
        <v>4774</v>
      </c>
      <c r="G78">
        <v>1022</v>
      </c>
      <c r="H78">
        <v>56</v>
      </c>
      <c r="I78" s="2">
        <v>7168</v>
      </c>
      <c r="J78" t="s">
        <v>226</v>
      </c>
      <c r="K78" s="3">
        <f>IFERROR(Table1[[#This Row],[Clicks]]/Table1[[#This Row],[Impressions]],0)</f>
        <v>5.2284002672244798E-2</v>
      </c>
      <c r="L78" s="3">
        <f>IFERROR(Table1[[#This Row],[Leads]]/Table1[[#This Row],[Clicks]],0)</f>
        <v>0.21407624633431085</v>
      </c>
      <c r="M78" s="3">
        <f>IFERROR(Table1[[#This Row],[Conversions]]/Table1[[#This Row],[Leads]],0)</f>
        <v>5.4794520547945202E-2</v>
      </c>
      <c r="N78" s="3">
        <f>IFERROR(Table1[[#This Row],[Conversions]]/Table1[[#This Row],[Impressions]],0)</f>
        <v>6.1330208413190373E-4</v>
      </c>
      <c r="O78" s="4">
        <f>IFERROR(Table1[[#This Row],[Spend]]/Table1[[#This Row],[Leads]],0)</f>
        <v>6.5097847358121328</v>
      </c>
      <c r="P78" s="4">
        <f>IFERROR(Table1[[#This Row],[Spend]]/Table1[[#This Row],[Conversions]],0)</f>
        <v>118.80357142857143</v>
      </c>
      <c r="Q78" s="4">
        <f>IFERROR(Table1[[#This Row],[Revenue]]/Table1[[#This Row],[Conversions]],0)</f>
        <v>128</v>
      </c>
      <c r="R78" s="3">
        <f>IFERROR((Table1[[#This Row],[Revenue]]-Table1[[#This Row],[Spend]])/Table1[[#This Row],[Spend]],0)</f>
        <v>7.7408687810010521E-2</v>
      </c>
      <c r="S78" s="6">
        <f>IFERROR(Table1[[#This Row],[Revenue]]/Table1[[#This Row],[Spend]],0)</f>
        <v>1.0774086878100104</v>
      </c>
      <c r="T78" s="4">
        <f>Table1[[#This Row],[Revenue]]-Table1[[#This Row],[Spend]]</f>
        <v>515</v>
      </c>
      <c r="U78" s="4" t="str">
        <f>TEXT(Table1[[#This Row],[Date]],"MMM")</f>
        <v>Jan</v>
      </c>
      <c r="V78" s="4" t="str">
        <f>IF(Table1[[#This Row],[ROI (%)]]&gt;0,"Profitable","Loss-Making")</f>
        <v>Profitable</v>
      </c>
    </row>
    <row r="79" spans="1:22" x14ac:dyDescent="0.35">
      <c r="A79" s="1" t="s">
        <v>64</v>
      </c>
      <c r="B79" t="s">
        <v>11</v>
      </c>
      <c r="C79" t="s">
        <v>227</v>
      </c>
      <c r="D79" s="2">
        <v>4485</v>
      </c>
      <c r="E79">
        <v>46110</v>
      </c>
      <c r="F79">
        <v>3824</v>
      </c>
      <c r="G79">
        <v>822</v>
      </c>
      <c r="H79">
        <v>293</v>
      </c>
      <c r="I79" s="2">
        <v>67097</v>
      </c>
      <c r="J79" t="s">
        <v>228</v>
      </c>
      <c r="K79" s="3">
        <f>IFERROR(Table1[[#This Row],[Clicks]]/Table1[[#This Row],[Impressions]],0)</f>
        <v>8.293211884623726E-2</v>
      </c>
      <c r="L79" s="3">
        <f>IFERROR(Table1[[#This Row],[Leads]]/Table1[[#This Row],[Clicks]],0)</f>
        <v>0.21495815899581591</v>
      </c>
      <c r="M79" s="3">
        <f>IFERROR(Table1[[#This Row],[Conversions]]/Table1[[#This Row],[Leads]],0)</f>
        <v>0.35644768856447689</v>
      </c>
      <c r="N79" s="3">
        <f>IFERROR(Table1[[#This Row],[Conversions]]/Table1[[#This Row],[Impressions]],0)</f>
        <v>6.3543699848189117E-3</v>
      </c>
      <c r="O79" s="4">
        <f>IFERROR(Table1[[#This Row],[Spend]]/Table1[[#This Row],[Leads]],0)</f>
        <v>5.4562043795620436</v>
      </c>
      <c r="P79" s="4">
        <f>IFERROR(Table1[[#This Row],[Spend]]/Table1[[#This Row],[Conversions]],0)</f>
        <v>15.30716723549488</v>
      </c>
      <c r="Q79" s="4">
        <f>IFERROR(Table1[[#This Row],[Revenue]]/Table1[[#This Row],[Conversions]],0)</f>
        <v>229</v>
      </c>
      <c r="R79" s="3">
        <f>IFERROR((Table1[[#This Row],[Revenue]]-Table1[[#This Row],[Spend]])/Table1[[#This Row],[Spend]],0)</f>
        <v>13.960312151616499</v>
      </c>
      <c r="S79" s="6">
        <f>IFERROR(Table1[[#This Row],[Revenue]]/Table1[[#This Row],[Spend]],0)</f>
        <v>14.960312151616499</v>
      </c>
      <c r="T79" s="4">
        <f>Table1[[#This Row],[Revenue]]-Table1[[#This Row],[Spend]]</f>
        <v>62612</v>
      </c>
      <c r="U79" s="4" t="str">
        <f>TEXT(Table1[[#This Row],[Date]],"MMM")</f>
        <v>Jan</v>
      </c>
      <c r="V79" s="4" t="str">
        <f>IF(Table1[[#This Row],[ROI (%)]]&gt;0,"Profitable","Loss-Making")</f>
        <v>Profitable</v>
      </c>
    </row>
    <row r="80" spans="1:22" x14ac:dyDescent="0.35">
      <c r="A80" s="1" t="s">
        <v>67</v>
      </c>
      <c r="B80" t="s">
        <v>28</v>
      </c>
      <c r="C80" t="s">
        <v>229</v>
      </c>
      <c r="D80" s="2">
        <v>6579</v>
      </c>
      <c r="E80">
        <v>79645</v>
      </c>
      <c r="F80">
        <v>4808</v>
      </c>
      <c r="G80">
        <v>1459</v>
      </c>
      <c r="H80">
        <v>51</v>
      </c>
      <c r="I80" s="2">
        <v>6171</v>
      </c>
      <c r="J80" t="s">
        <v>230</v>
      </c>
      <c r="K80" s="3">
        <f>IFERROR(Table1[[#This Row],[Clicks]]/Table1[[#This Row],[Impressions]],0)</f>
        <v>6.0367882478498336E-2</v>
      </c>
      <c r="L80" s="3">
        <f>IFERROR(Table1[[#This Row],[Leads]]/Table1[[#This Row],[Clicks]],0)</f>
        <v>0.30345257903494177</v>
      </c>
      <c r="M80" s="3">
        <f>IFERROR(Table1[[#This Row],[Conversions]]/Table1[[#This Row],[Leads]],0)</f>
        <v>3.495544893762851E-2</v>
      </c>
      <c r="N80" s="3">
        <f>IFERROR(Table1[[#This Row],[Conversions]]/Table1[[#This Row],[Impressions]],0)</f>
        <v>6.4034151547491991E-4</v>
      </c>
      <c r="O80" s="4">
        <f>IFERROR(Table1[[#This Row],[Spend]]/Table1[[#This Row],[Leads]],0)</f>
        <v>4.5092529129540777</v>
      </c>
      <c r="P80" s="4">
        <f>IFERROR(Table1[[#This Row],[Spend]]/Table1[[#This Row],[Conversions]],0)</f>
        <v>129</v>
      </c>
      <c r="Q80" s="4">
        <f>IFERROR(Table1[[#This Row],[Revenue]]/Table1[[#This Row],[Conversions]],0)</f>
        <v>121</v>
      </c>
      <c r="R80" s="3">
        <f>IFERROR((Table1[[#This Row],[Revenue]]-Table1[[#This Row],[Spend]])/Table1[[#This Row],[Spend]],0)</f>
        <v>-6.2015503875968991E-2</v>
      </c>
      <c r="S80" s="6">
        <f>IFERROR(Table1[[#This Row],[Revenue]]/Table1[[#This Row],[Spend]],0)</f>
        <v>0.93798449612403101</v>
      </c>
      <c r="T80" s="4">
        <f>Table1[[#This Row],[Revenue]]-Table1[[#This Row],[Spend]]</f>
        <v>-408</v>
      </c>
      <c r="U80" s="4" t="str">
        <f>TEXT(Table1[[#This Row],[Date]],"MMM")</f>
        <v>Jan</v>
      </c>
      <c r="V80" s="4" t="str">
        <f>IF(Table1[[#This Row],[ROI (%)]]&gt;0,"Profitable","Loss-Making")</f>
        <v>Loss-Making</v>
      </c>
    </row>
    <row r="81" spans="1:22" x14ac:dyDescent="0.35">
      <c r="A81" s="1" t="s">
        <v>70</v>
      </c>
      <c r="B81" t="s">
        <v>11</v>
      </c>
      <c r="C81" t="s">
        <v>231</v>
      </c>
      <c r="D81" s="2">
        <v>5349</v>
      </c>
      <c r="E81">
        <v>42403</v>
      </c>
      <c r="F81">
        <v>4787</v>
      </c>
      <c r="G81">
        <v>780</v>
      </c>
      <c r="H81">
        <v>246</v>
      </c>
      <c r="I81" s="2">
        <v>44526</v>
      </c>
      <c r="J81" t="s">
        <v>232</v>
      </c>
      <c r="K81" s="3">
        <f>IFERROR(Table1[[#This Row],[Clicks]]/Table1[[#This Row],[Impressions]],0)</f>
        <v>0.1128929556870976</v>
      </c>
      <c r="L81" s="3">
        <f>IFERROR(Table1[[#This Row],[Leads]]/Table1[[#This Row],[Clicks]],0)</f>
        <v>0.16294129935241278</v>
      </c>
      <c r="M81" s="3">
        <f>IFERROR(Table1[[#This Row],[Conversions]]/Table1[[#This Row],[Leads]],0)</f>
        <v>0.31538461538461537</v>
      </c>
      <c r="N81" s="3">
        <f>IFERROR(Table1[[#This Row],[Conversions]]/Table1[[#This Row],[Impressions]],0)</f>
        <v>5.8014763106383985E-3</v>
      </c>
      <c r="O81" s="4">
        <f>IFERROR(Table1[[#This Row],[Spend]]/Table1[[#This Row],[Leads]],0)</f>
        <v>6.8576923076923073</v>
      </c>
      <c r="P81" s="4">
        <f>IFERROR(Table1[[#This Row],[Spend]]/Table1[[#This Row],[Conversions]],0)</f>
        <v>21.743902439024389</v>
      </c>
      <c r="Q81" s="4">
        <f>IFERROR(Table1[[#This Row],[Revenue]]/Table1[[#This Row],[Conversions]],0)</f>
        <v>181</v>
      </c>
      <c r="R81" s="3">
        <f>IFERROR((Table1[[#This Row],[Revenue]]-Table1[[#This Row],[Spend]])/Table1[[#This Row],[Spend]],0)</f>
        <v>7.3241727425687042</v>
      </c>
      <c r="S81" s="6">
        <f>IFERROR(Table1[[#This Row],[Revenue]]/Table1[[#This Row],[Spend]],0)</f>
        <v>8.3241727425687042</v>
      </c>
      <c r="T81" s="4">
        <f>Table1[[#This Row],[Revenue]]-Table1[[#This Row],[Spend]]</f>
        <v>39177</v>
      </c>
      <c r="U81" s="4" t="str">
        <f>TEXT(Table1[[#This Row],[Date]],"MMM")</f>
        <v>Jan</v>
      </c>
      <c r="V81" s="4" t="str">
        <f>IF(Table1[[#This Row],[ROI (%)]]&gt;0,"Profitable","Loss-Making")</f>
        <v>Profitable</v>
      </c>
    </row>
    <row r="82" spans="1:22" x14ac:dyDescent="0.35">
      <c r="A82" s="1" t="s">
        <v>73</v>
      </c>
      <c r="B82" t="s">
        <v>28</v>
      </c>
      <c r="C82" t="s">
        <v>233</v>
      </c>
      <c r="D82" s="2">
        <v>6659</v>
      </c>
      <c r="E82">
        <v>73042</v>
      </c>
      <c r="F82">
        <v>4752</v>
      </c>
      <c r="G82">
        <v>1370</v>
      </c>
      <c r="H82">
        <v>88</v>
      </c>
      <c r="I82" s="2">
        <v>14432</v>
      </c>
      <c r="J82" t="s">
        <v>234</v>
      </c>
      <c r="K82" s="3">
        <f>IFERROR(Table1[[#This Row],[Clicks]]/Table1[[#This Row],[Impressions]],0)</f>
        <v>6.5058459516442596E-2</v>
      </c>
      <c r="L82" s="3">
        <f>IFERROR(Table1[[#This Row],[Leads]]/Table1[[#This Row],[Clicks]],0)</f>
        <v>0.28829966329966328</v>
      </c>
      <c r="M82" s="3">
        <f>IFERROR(Table1[[#This Row],[Conversions]]/Table1[[#This Row],[Leads]],0)</f>
        <v>6.4233576642335768E-2</v>
      </c>
      <c r="N82" s="3">
        <f>IFERROR(Table1[[#This Row],[Conversions]]/Table1[[#This Row],[Impressions]],0)</f>
        <v>1.2047862873415295E-3</v>
      </c>
      <c r="O82" s="4">
        <f>IFERROR(Table1[[#This Row],[Spend]]/Table1[[#This Row],[Leads]],0)</f>
        <v>4.8605839416058396</v>
      </c>
      <c r="P82" s="4">
        <f>IFERROR(Table1[[#This Row],[Spend]]/Table1[[#This Row],[Conversions]],0)</f>
        <v>75.670454545454547</v>
      </c>
      <c r="Q82" s="4">
        <f>IFERROR(Table1[[#This Row],[Revenue]]/Table1[[#This Row],[Conversions]],0)</f>
        <v>164</v>
      </c>
      <c r="R82" s="3">
        <f>IFERROR((Table1[[#This Row],[Revenue]]-Table1[[#This Row],[Spend]])/Table1[[#This Row],[Spend]],0)</f>
        <v>1.1672923862441809</v>
      </c>
      <c r="S82" s="6">
        <f>IFERROR(Table1[[#This Row],[Revenue]]/Table1[[#This Row],[Spend]],0)</f>
        <v>2.1672923862441809</v>
      </c>
      <c r="T82" s="4">
        <f>Table1[[#This Row],[Revenue]]-Table1[[#This Row],[Spend]]</f>
        <v>7773</v>
      </c>
      <c r="U82" s="4" t="str">
        <f>TEXT(Table1[[#This Row],[Date]],"MMM")</f>
        <v>Jan</v>
      </c>
      <c r="V82" s="4" t="str">
        <f>IF(Table1[[#This Row],[ROI (%)]]&gt;0,"Profitable","Loss-Making")</f>
        <v>Profitable</v>
      </c>
    </row>
    <row r="83" spans="1:22" x14ac:dyDescent="0.35">
      <c r="A83" s="1" t="s">
        <v>76</v>
      </c>
      <c r="B83" t="s">
        <v>15</v>
      </c>
      <c r="C83" t="s">
        <v>235</v>
      </c>
      <c r="D83" s="2">
        <v>11227</v>
      </c>
      <c r="E83">
        <v>36350</v>
      </c>
      <c r="F83">
        <v>2463</v>
      </c>
      <c r="G83">
        <v>343</v>
      </c>
      <c r="H83">
        <v>29</v>
      </c>
      <c r="I83" s="2">
        <v>4843</v>
      </c>
      <c r="J83" t="s">
        <v>236</v>
      </c>
      <c r="K83" s="3">
        <f>IFERROR(Table1[[#This Row],[Clicks]]/Table1[[#This Row],[Impressions]],0)</f>
        <v>6.775790921595598E-2</v>
      </c>
      <c r="L83" s="3">
        <f>IFERROR(Table1[[#This Row],[Leads]]/Table1[[#This Row],[Clicks]],0)</f>
        <v>0.13926106374340236</v>
      </c>
      <c r="M83" s="3">
        <f>IFERROR(Table1[[#This Row],[Conversions]]/Table1[[#This Row],[Leads]],0)</f>
        <v>8.4548104956268216E-2</v>
      </c>
      <c r="N83" s="3">
        <f>IFERROR(Table1[[#This Row],[Conversions]]/Table1[[#This Row],[Impressions]],0)</f>
        <v>7.9779917469050899E-4</v>
      </c>
      <c r="O83" s="4">
        <f>IFERROR(Table1[[#This Row],[Spend]]/Table1[[#This Row],[Leads]],0)</f>
        <v>32.731778425655975</v>
      </c>
      <c r="P83" s="4">
        <f>IFERROR(Table1[[#This Row],[Spend]]/Table1[[#This Row],[Conversions]],0)</f>
        <v>387.13793103448273</v>
      </c>
      <c r="Q83" s="4">
        <f>IFERROR(Table1[[#This Row],[Revenue]]/Table1[[#This Row],[Conversions]],0)</f>
        <v>167</v>
      </c>
      <c r="R83" s="3">
        <f>IFERROR((Table1[[#This Row],[Revenue]]-Table1[[#This Row],[Spend]])/Table1[[#This Row],[Spend]],0)</f>
        <v>-0.56862919747038387</v>
      </c>
      <c r="S83" s="6">
        <f>IFERROR(Table1[[#This Row],[Revenue]]/Table1[[#This Row],[Spend]],0)</f>
        <v>0.43137080252961613</v>
      </c>
      <c r="T83" s="4">
        <f>Table1[[#This Row],[Revenue]]-Table1[[#This Row],[Spend]]</f>
        <v>-6384</v>
      </c>
      <c r="U83" s="4" t="str">
        <f>TEXT(Table1[[#This Row],[Date]],"MMM")</f>
        <v>Jan</v>
      </c>
      <c r="V83" s="4" t="str">
        <f>IF(Table1[[#This Row],[ROI (%)]]&gt;0,"Profitable","Loss-Making")</f>
        <v>Loss-Making</v>
      </c>
    </row>
    <row r="84" spans="1:22" x14ac:dyDescent="0.35">
      <c r="A84" s="1" t="s">
        <v>79</v>
      </c>
      <c r="B84" t="s">
        <v>11</v>
      </c>
      <c r="C84" t="s">
        <v>237</v>
      </c>
      <c r="D84" s="2">
        <v>4768</v>
      </c>
      <c r="E84">
        <v>67953</v>
      </c>
      <c r="F84">
        <v>3895</v>
      </c>
      <c r="G84">
        <v>788</v>
      </c>
      <c r="H84">
        <v>183</v>
      </c>
      <c r="I84" s="2">
        <v>37515</v>
      </c>
      <c r="J84" t="s">
        <v>238</v>
      </c>
      <c r="K84" s="3">
        <f>IFERROR(Table1[[#This Row],[Clicks]]/Table1[[#This Row],[Impressions]],0)</f>
        <v>5.7319029329095113E-2</v>
      </c>
      <c r="L84" s="3">
        <f>IFERROR(Table1[[#This Row],[Leads]]/Table1[[#This Row],[Clicks]],0)</f>
        <v>0.20231065468549422</v>
      </c>
      <c r="M84" s="3">
        <f>IFERROR(Table1[[#This Row],[Conversions]]/Table1[[#This Row],[Leads]],0)</f>
        <v>0.23223350253807107</v>
      </c>
      <c r="N84" s="3">
        <f>IFERROR(Table1[[#This Row],[Conversions]]/Table1[[#This Row],[Impressions]],0)</f>
        <v>2.6930378349741733E-3</v>
      </c>
      <c r="O84" s="4">
        <f>IFERROR(Table1[[#This Row],[Spend]]/Table1[[#This Row],[Leads]],0)</f>
        <v>6.0507614213197973</v>
      </c>
      <c r="P84" s="4">
        <f>IFERROR(Table1[[#This Row],[Spend]]/Table1[[#This Row],[Conversions]],0)</f>
        <v>26.05464480874317</v>
      </c>
      <c r="Q84" s="4">
        <f>IFERROR(Table1[[#This Row],[Revenue]]/Table1[[#This Row],[Conversions]],0)</f>
        <v>205</v>
      </c>
      <c r="R84" s="3">
        <f>IFERROR((Table1[[#This Row],[Revenue]]-Table1[[#This Row],[Spend]])/Table1[[#This Row],[Spend]],0)</f>
        <v>6.8680788590604029</v>
      </c>
      <c r="S84" s="6">
        <f>IFERROR(Table1[[#This Row],[Revenue]]/Table1[[#This Row],[Spend]],0)</f>
        <v>7.8680788590604029</v>
      </c>
      <c r="T84" s="4">
        <f>Table1[[#This Row],[Revenue]]-Table1[[#This Row],[Spend]]</f>
        <v>32747</v>
      </c>
      <c r="U84" s="4" t="str">
        <f>TEXT(Table1[[#This Row],[Date]],"MMM")</f>
        <v>Jan</v>
      </c>
      <c r="V84" s="4" t="str">
        <f>IF(Table1[[#This Row],[ROI (%)]]&gt;0,"Profitable","Loss-Making")</f>
        <v>Profitable</v>
      </c>
    </row>
    <row r="85" spans="1:22" x14ac:dyDescent="0.35">
      <c r="A85" s="1" t="s">
        <v>82</v>
      </c>
      <c r="B85" t="s">
        <v>15</v>
      </c>
      <c r="C85" t="s">
        <v>239</v>
      </c>
      <c r="D85" s="2">
        <v>10258</v>
      </c>
      <c r="E85">
        <v>29825</v>
      </c>
      <c r="F85">
        <v>1680</v>
      </c>
      <c r="G85">
        <v>456</v>
      </c>
      <c r="H85">
        <v>57</v>
      </c>
      <c r="I85" s="2">
        <v>12312</v>
      </c>
      <c r="J85" t="s">
        <v>240</v>
      </c>
      <c r="K85" s="3">
        <f>IFERROR(Table1[[#This Row],[Clicks]]/Table1[[#This Row],[Impressions]],0)</f>
        <v>5.6328583403185251E-2</v>
      </c>
      <c r="L85" s="3">
        <f>IFERROR(Table1[[#This Row],[Leads]]/Table1[[#This Row],[Clicks]],0)</f>
        <v>0.27142857142857141</v>
      </c>
      <c r="M85" s="3">
        <f>IFERROR(Table1[[#This Row],[Conversions]]/Table1[[#This Row],[Leads]],0)</f>
        <v>0.125</v>
      </c>
      <c r="N85" s="3">
        <f>IFERROR(Table1[[#This Row],[Conversions]]/Table1[[#This Row],[Impressions]],0)</f>
        <v>1.9111483654652137E-3</v>
      </c>
      <c r="O85" s="4">
        <f>IFERROR(Table1[[#This Row],[Spend]]/Table1[[#This Row],[Leads]],0)</f>
        <v>22.495614035087719</v>
      </c>
      <c r="P85" s="4">
        <f>IFERROR(Table1[[#This Row],[Spend]]/Table1[[#This Row],[Conversions]],0)</f>
        <v>179.96491228070175</v>
      </c>
      <c r="Q85" s="4">
        <f>IFERROR(Table1[[#This Row],[Revenue]]/Table1[[#This Row],[Conversions]],0)</f>
        <v>216</v>
      </c>
      <c r="R85" s="3">
        <f>IFERROR((Table1[[#This Row],[Revenue]]-Table1[[#This Row],[Spend]])/Table1[[#This Row],[Spend]],0)</f>
        <v>0.20023396373562097</v>
      </c>
      <c r="S85" s="6">
        <f>IFERROR(Table1[[#This Row],[Revenue]]/Table1[[#This Row],[Spend]],0)</f>
        <v>1.200233963735621</v>
      </c>
      <c r="T85" s="4">
        <f>Table1[[#This Row],[Revenue]]-Table1[[#This Row],[Spend]]</f>
        <v>2054</v>
      </c>
      <c r="U85" s="4" t="str">
        <f>TEXT(Table1[[#This Row],[Date]],"MMM")</f>
        <v>Jan</v>
      </c>
      <c r="V85" s="4" t="str">
        <f>IF(Table1[[#This Row],[ROI (%)]]&gt;0,"Profitable","Loss-Making")</f>
        <v>Profitable</v>
      </c>
    </row>
    <row r="86" spans="1:22" x14ac:dyDescent="0.35">
      <c r="A86" s="1" t="s">
        <v>85</v>
      </c>
      <c r="B86" t="s">
        <v>11</v>
      </c>
      <c r="C86" t="s">
        <v>241</v>
      </c>
      <c r="D86" s="2">
        <v>6196</v>
      </c>
      <c r="E86">
        <v>61108</v>
      </c>
      <c r="F86">
        <v>4091</v>
      </c>
      <c r="G86">
        <v>949</v>
      </c>
      <c r="H86">
        <v>267</v>
      </c>
      <c r="I86" s="2">
        <v>48327</v>
      </c>
      <c r="J86" t="s">
        <v>242</v>
      </c>
      <c r="K86" s="3">
        <f>IFERROR(Table1[[#This Row],[Clicks]]/Table1[[#This Row],[Impressions]],0)</f>
        <v>6.6947044576814815E-2</v>
      </c>
      <c r="L86" s="3">
        <f>IFERROR(Table1[[#This Row],[Leads]]/Table1[[#This Row],[Clicks]],0)</f>
        <v>0.23197262283060377</v>
      </c>
      <c r="M86" s="3">
        <f>IFERROR(Table1[[#This Row],[Conversions]]/Table1[[#This Row],[Leads]],0)</f>
        <v>0.28134878819810327</v>
      </c>
      <c r="N86" s="3">
        <f>IFERROR(Table1[[#This Row],[Conversions]]/Table1[[#This Row],[Impressions]],0)</f>
        <v>4.3693133468612946E-3</v>
      </c>
      <c r="O86" s="4">
        <f>IFERROR(Table1[[#This Row],[Spend]]/Table1[[#This Row],[Leads]],0)</f>
        <v>6.5289778714436251</v>
      </c>
      <c r="P86" s="4">
        <f>IFERROR(Table1[[#This Row],[Spend]]/Table1[[#This Row],[Conversions]],0)</f>
        <v>23.205992509363295</v>
      </c>
      <c r="Q86" s="4">
        <f>IFERROR(Table1[[#This Row],[Revenue]]/Table1[[#This Row],[Conversions]],0)</f>
        <v>181</v>
      </c>
      <c r="R86" s="3">
        <f>IFERROR((Table1[[#This Row],[Revenue]]-Table1[[#This Row],[Spend]])/Table1[[#This Row],[Spend]],0)</f>
        <v>6.7997094899935444</v>
      </c>
      <c r="S86" s="6">
        <f>IFERROR(Table1[[#This Row],[Revenue]]/Table1[[#This Row],[Spend]],0)</f>
        <v>7.7997094899935444</v>
      </c>
      <c r="T86" s="4">
        <f>Table1[[#This Row],[Revenue]]-Table1[[#This Row],[Spend]]</f>
        <v>42131</v>
      </c>
      <c r="U86" s="4" t="str">
        <f>TEXT(Table1[[#This Row],[Date]],"MMM")</f>
        <v>Jan</v>
      </c>
      <c r="V86" s="4" t="str">
        <f>IF(Table1[[#This Row],[ROI (%)]]&gt;0,"Profitable","Loss-Making")</f>
        <v>Profitable</v>
      </c>
    </row>
    <row r="87" spans="1:22" x14ac:dyDescent="0.35">
      <c r="A87" s="1" t="s">
        <v>88</v>
      </c>
      <c r="B87" t="s">
        <v>15</v>
      </c>
      <c r="C87" t="s">
        <v>243</v>
      </c>
      <c r="D87" s="2">
        <v>12501</v>
      </c>
      <c r="E87">
        <v>36846</v>
      </c>
      <c r="F87">
        <v>1779</v>
      </c>
      <c r="G87">
        <v>432</v>
      </c>
      <c r="H87">
        <v>49</v>
      </c>
      <c r="I87" s="2">
        <v>9947</v>
      </c>
      <c r="J87" t="s">
        <v>244</v>
      </c>
      <c r="K87" s="3">
        <f>IFERROR(Table1[[#This Row],[Clicks]]/Table1[[#This Row],[Impressions]],0)</f>
        <v>4.8282038755902951E-2</v>
      </c>
      <c r="L87" s="3">
        <f>IFERROR(Table1[[#This Row],[Leads]]/Table1[[#This Row],[Clicks]],0)</f>
        <v>0.24283305227655985</v>
      </c>
      <c r="M87" s="3">
        <f>IFERROR(Table1[[#This Row],[Conversions]]/Table1[[#This Row],[Leads]],0)</f>
        <v>0.11342592592592593</v>
      </c>
      <c r="N87" s="3">
        <f>IFERROR(Table1[[#This Row],[Conversions]]/Table1[[#This Row],[Impressions]],0)</f>
        <v>1.3298594148618574E-3</v>
      </c>
      <c r="O87" s="4">
        <f>IFERROR(Table1[[#This Row],[Spend]]/Table1[[#This Row],[Leads]],0)</f>
        <v>28.9375</v>
      </c>
      <c r="P87" s="4">
        <f>IFERROR(Table1[[#This Row],[Spend]]/Table1[[#This Row],[Conversions]],0)</f>
        <v>255.12244897959184</v>
      </c>
      <c r="Q87" s="4">
        <f>IFERROR(Table1[[#This Row],[Revenue]]/Table1[[#This Row],[Conversions]],0)</f>
        <v>203</v>
      </c>
      <c r="R87" s="3">
        <f>IFERROR((Table1[[#This Row],[Revenue]]-Table1[[#This Row],[Spend]])/Table1[[#This Row],[Spend]],0)</f>
        <v>-0.20430365570754339</v>
      </c>
      <c r="S87" s="6">
        <f>IFERROR(Table1[[#This Row],[Revenue]]/Table1[[#This Row],[Spend]],0)</f>
        <v>0.79569634429245661</v>
      </c>
      <c r="T87" s="4">
        <f>Table1[[#This Row],[Revenue]]-Table1[[#This Row],[Spend]]</f>
        <v>-2554</v>
      </c>
      <c r="U87" s="4" t="str">
        <f>TEXT(Table1[[#This Row],[Date]],"MMM")</f>
        <v>Jan</v>
      </c>
      <c r="V87" s="4" t="str">
        <f>IF(Table1[[#This Row],[ROI (%)]]&gt;0,"Profitable","Loss-Making")</f>
        <v>Loss-Making</v>
      </c>
    </row>
    <row r="88" spans="1:22" x14ac:dyDescent="0.35">
      <c r="A88" s="1" t="s">
        <v>91</v>
      </c>
      <c r="B88" t="s">
        <v>15</v>
      </c>
      <c r="C88" t="s">
        <v>245</v>
      </c>
      <c r="D88" s="2">
        <v>11371</v>
      </c>
      <c r="E88">
        <v>26332</v>
      </c>
      <c r="F88">
        <v>1921</v>
      </c>
      <c r="G88">
        <v>252</v>
      </c>
      <c r="H88">
        <v>44</v>
      </c>
      <c r="I88" s="2">
        <v>9064</v>
      </c>
      <c r="J88" t="s">
        <v>246</v>
      </c>
      <c r="K88" s="3">
        <f>IFERROR(Table1[[#This Row],[Clicks]]/Table1[[#This Row],[Impressions]],0)</f>
        <v>7.2953060914476689E-2</v>
      </c>
      <c r="L88" s="3">
        <f>IFERROR(Table1[[#This Row],[Leads]]/Table1[[#This Row],[Clicks]],0)</f>
        <v>0.13118167621030713</v>
      </c>
      <c r="M88" s="3">
        <f>IFERROR(Table1[[#This Row],[Conversions]]/Table1[[#This Row],[Leads]],0)</f>
        <v>0.17460317460317459</v>
      </c>
      <c r="N88" s="3">
        <f>IFERROR(Table1[[#This Row],[Conversions]]/Table1[[#This Row],[Impressions]],0)</f>
        <v>1.6709706820598512E-3</v>
      </c>
      <c r="O88" s="4">
        <f>IFERROR(Table1[[#This Row],[Spend]]/Table1[[#This Row],[Leads]],0)</f>
        <v>45.123015873015873</v>
      </c>
      <c r="P88" s="4">
        <f>IFERROR(Table1[[#This Row],[Spend]]/Table1[[#This Row],[Conversions]],0)</f>
        <v>258.43181818181819</v>
      </c>
      <c r="Q88" s="4">
        <f>IFERROR(Table1[[#This Row],[Revenue]]/Table1[[#This Row],[Conversions]],0)</f>
        <v>206</v>
      </c>
      <c r="R88" s="3">
        <f>IFERROR((Table1[[#This Row],[Revenue]]-Table1[[#This Row],[Spend]])/Table1[[#This Row],[Spend]],0)</f>
        <v>-0.20288453082402602</v>
      </c>
      <c r="S88" s="6">
        <f>IFERROR(Table1[[#This Row],[Revenue]]/Table1[[#This Row],[Spend]],0)</f>
        <v>0.79711546917597398</v>
      </c>
      <c r="T88" s="4">
        <f>Table1[[#This Row],[Revenue]]-Table1[[#This Row],[Spend]]</f>
        <v>-2307</v>
      </c>
      <c r="U88" s="4" t="str">
        <f>TEXT(Table1[[#This Row],[Date]],"MMM")</f>
        <v>Jan</v>
      </c>
      <c r="V88" s="4" t="str">
        <f>IF(Table1[[#This Row],[ROI (%)]]&gt;0,"Profitable","Loss-Making")</f>
        <v>Loss-Making</v>
      </c>
    </row>
    <row r="89" spans="1:22" x14ac:dyDescent="0.35">
      <c r="A89" s="1" t="s">
        <v>94</v>
      </c>
      <c r="B89" t="s">
        <v>28</v>
      </c>
      <c r="C89" t="s">
        <v>247</v>
      </c>
      <c r="D89" s="2">
        <v>7822</v>
      </c>
      <c r="E89">
        <v>79276</v>
      </c>
      <c r="F89">
        <v>5595</v>
      </c>
      <c r="G89">
        <v>1496</v>
      </c>
      <c r="H89">
        <v>62</v>
      </c>
      <c r="I89" s="2">
        <v>10354</v>
      </c>
      <c r="J89" t="s">
        <v>248</v>
      </c>
      <c r="K89" s="3">
        <f>IFERROR(Table1[[#This Row],[Clicks]]/Table1[[#This Row],[Impressions]],0)</f>
        <v>7.0576214743428026E-2</v>
      </c>
      <c r="L89" s="3">
        <f>IFERROR(Table1[[#This Row],[Leads]]/Table1[[#This Row],[Clicks]],0)</f>
        <v>0.26738159070598749</v>
      </c>
      <c r="M89" s="3">
        <f>IFERROR(Table1[[#This Row],[Conversions]]/Table1[[#This Row],[Leads]],0)</f>
        <v>4.1443850267379678E-2</v>
      </c>
      <c r="N89" s="3">
        <f>IFERROR(Table1[[#This Row],[Conversions]]/Table1[[#This Row],[Impressions]],0)</f>
        <v>7.8207780412735254E-4</v>
      </c>
      <c r="O89" s="4">
        <f>IFERROR(Table1[[#This Row],[Spend]]/Table1[[#This Row],[Leads]],0)</f>
        <v>5.2286096256684491</v>
      </c>
      <c r="P89" s="4">
        <f>IFERROR(Table1[[#This Row],[Spend]]/Table1[[#This Row],[Conversions]],0)</f>
        <v>126.16129032258064</v>
      </c>
      <c r="Q89" s="4">
        <f>IFERROR(Table1[[#This Row],[Revenue]]/Table1[[#This Row],[Conversions]],0)</f>
        <v>167</v>
      </c>
      <c r="R89" s="3">
        <f>IFERROR((Table1[[#This Row],[Revenue]]-Table1[[#This Row],[Spend]])/Table1[[#This Row],[Spend]],0)</f>
        <v>0.32370237790846329</v>
      </c>
      <c r="S89" s="6">
        <f>IFERROR(Table1[[#This Row],[Revenue]]/Table1[[#This Row],[Spend]],0)</f>
        <v>1.3237023779084633</v>
      </c>
      <c r="T89" s="4">
        <f>Table1[[#This Row],[Revenue]]-Table1[[#This Row],[Spend]]</f>
        <v>2532</v>
      </c>
      <c r="U89" s="4" t="str">
        <f>TEXT(Table1[[#This Row],[Date]],"MMM")</f>
        <v>Jan</v>
      </c>
      <c r="V89" s="4" t="str">
        <f>IF(Table1[[#This Row],[ROI (%)]]&gt;0,"Profitable","Loss-Making")</f>
        <v>Profitable</v>
      </c>
    </row>
    <row r="90" spans="1:22" x14ac:dyDescent="0.35">
      <c r="A90" s="1" t="s">
        <v>97</v>
      </c>
      <c r="B90" t="s">
        <v>11</v>
      </c>
      <c r="C90" t="s">
        <v>249</v>
      </c>
      <c r="D90" s="2">
        <v>6690</v>
      </c>
      <c r="E90">
        <v>60148</v>
      </c>
      <c r="F90">
        <v>3078</v>
      </c>
      <c r="G90">
        <v>710</v>
      </c>
      <c r="H90">
        <v>253</v>
      </c>
      <c r="I90" s="2">
        <v>51106</v>
      </c>
      <c r="J90" t="s">
        <v>250</v>
      </c>
      <c r="K90" s="3">
        <f>IFERROR(Table1[[#This Row],[Clicks]]/Table1[[#This Row],[Impressions]],0)</f>
        <v>5.1173771363968876E-2</v>
      </c>
      <c r="L90" s="3">
        <f>IFERROR(Table1[[#This Row],[Leads]]/Table1[[#This Row],[Clicks]],0)</f>
        <v>0.23066926575698504</v>
      </c>
      <c r="M90" s="3">
        <f>IFERROR(Table1[[#This Row],[Conversions]]/Table1[[#This Row],[Leads]],0)</f>
        <v>0.35633802816901411</v>
      </c>
      <c r="N90" s="3">
        <f>IFERROR(Table1[[#This Row],[Conversions]]/Table1[[#This Row],[Impressions]],0)</f>
        <v>4.2062911485003657E-3</v>
      </c>
      <c r="O90" s="4">
        <f>IFERROR(Table1[[#This Row],[Spend]]/Table1[[#This Row],[Leads]],0)</f>
        <v>9.422535211267606</v>
      </c>
      <c r="P90" s="4">
        <f>IFERROR(Table1[[#This Row],[Spend]]/Table1[[#This Row],[Conversions]],0)</f>
        <v>26.442687747035574</v>
      </c>
      <c r="Q90" s="4">
        <f>IFERROR(Table1[[#This Row],[Revenue]]/Table1[[#This Row],[Conversions]],0)</f>
        <v>202</v>
      </c>
      <c r="R90" s="3">
        <f>IFERROR((Table1[[#This Row],[Revenue]]-Table1[[#This Row],[Spend]])/Table1[[#This Row],[Spend]],0)</f>
        <v>6.639162929745889</v>
      </c>
      <c r="S90" s="6">
        <f>IFERROR(Table1[[#This Row],[Revenue]]/Table1[[#This Row],[Spend]],0)</f>
        <v>7.639162929745889</v>
      </c>
      <c r="T90" s="4">
        <f>Table1[[#This Row],[Revenue]]-Table1[[#This Row],[Spend]]</f>
        <v>44416</v>
      </c>
      <c r="U90" s="4" t="str">
        <f>TEXT(Table1[[#This Row],[Date]],"MMM")</f>
        <v>Jan</v>
      </c>
      <c r="V90" s="4" t="str">
        <f>IF(Table1[[#This Row],[ROI (%)]]&gt;0,"Profitable","Loss-Making")</f>
        <v>Profitable</v>
      </c>
    </row>
    <row r="91" spans="1:22" x14ac:dyDescent="0.35">
      <c r="A91" s="1" t="s">
        <v>100</v>
      </c>
      <c r="B91" t="s">
        <v>28</v>
      </c>
      <c r="C91" t="s">
        <v>251</v>
      </c>
      <c r="D91" s="2">
        <v>7688</v>
      </c>
      <c r="E91">
        <v>82422</v>
      </c>
      <c r="F91">
        <v>4220</v>
      </c>
      <c r="G91">
        <v>1221</v>
      </c>
      <c r="H91">
        <v>65</v>
      </c>
      <c r="I91" s="2">
        <v>11375</v>
      </c>
      <c r="J91" t="s">
        <v>252</v>
      </c>
      <c r="K91" s="3">
        <f>IFERROR(Table1[[#This Row],[Clicks]]/Table1[[#This Row],[Impressions]],0)</f>
        <v>5.119992235082866E-2</v>
      </c>
      <c r="L91" s="3">
        <f>IFERROR(Table1[[#This Row],[Leads]]/Table1[[#This Row],[Clicks]],0)</f>
        <v>0.28933649289099528</v>
      </c>
      <c r="M91" s="3">
        <f>IFERROR(Table1[[#This Row],[Conversions]]/Table1[[#This Row],[Leads]],0)</f>
        <v>5.3235053235053238E-2</v>
      </c>
      <c r="N91" s="3">
        <f>IFERROR(Table1[[#This Row],[Conversions]]/Table1[[#This Row],[Impressions]],0)</f>
        <v>7.8862439639901965E-4</v>
      </c>
      <c r="O91" s="4">
        <f>IFERROR(Table1[[#This Row],[Spend]]/Table1[[#This Row],[Leads]],0)</f>
        <v>6.2964782964782966</v>
      </c>
      <c r="P91" s="4">
        <f>IFERROR(Table1[[#This Row],[Spend]]/Table1[[#This Row],[Conversions]],0)</f>
        <v>118.27692307692308</v>
      </c>
      <c r="Q91" s="4">
        <f>IFERROR(Table1[[#This Row],[Revenue]]/Table1[[#This Row],[Conversions]],0)</f>
        <v>175</v>
      </c>
      <c r="R91" s="3">
        <f>IFERROR((Table1[[#This Row],[Revenue]]-Table1[[#This Row],[Spend]])/Table1[[#This Row],[Spend]],0)</f>
        <v>0.47957856399583765</v>
      </c>
      <c r="S91" s="6">
        <f>IFERROR(Table1[[#This Row],[Revenue]]/Table1[[#This Row],[Spend]],0)</f>
        <v>1.4795785639958376</v>
      </c>
      <c r="T91" s="4">
        <f>Table1[[#This Row],[Revenue]]-Table1[[#This Row],[Spend]]</f>
        <v>3687</v>
      </c>
      <c r="U91" s="4" t="str">
        <f>TEXT(Table1[[#This Row],[Date]],"MMM")</f>
        <v>Jan</v>
      </c>
      <c r="V91" s="4" t="str">
        <f>IF(Table1[[#This Row],[ROI (%)]]&gt;0,"Profitable","Loss-Making")</f>
        <v>Profitable</v>
      </c>
    </row>
    <row r="92" spans="1:22" x14ac:dyDescent="0.35">
      <c r="A92" s="1" t="s">
        <v>103</v>
      </c>
      <c r="B92" t="s">
        <v>15</v>
      </c>
      <c r="C92" t="s">
        <v>253</v>
      </c>
      <c r="D92" s="2">
        <v>11221</v>
      </c>
      <c r="E92">
        <v>27589</v>
      </c>
      <c r="F92">
        <v>2930</v>
      </c>
      <c r="G92">
        <v>275</v>
      </c>
      <c r="H92">
        <v>54</v>
      </c>
      <c r="I92" s="2">
        <v>10206</v>
      </c>
      <c r="J92" t="s">
        <v>254</v>
      </c>
      <c r="K92" s="3">
        <f>IFERROR(Table1[[#This Row],[Clicks]]/Table1[[#This Row],[Impressions]],0)</f>
        <v>0.10620174707310885</v>
      </c>
      <c r="L92" s="3">
        <f>IFERROR(Table1[[#This Row],[Leads]]/Table1[[#This Row],[Clicks]],0)</f>
        <v>9.3856655290102384E-2</v>
      </c>
      <c r="M92" s="3">
        <f>IFERROR(Table1[[#This Row],[Conversions]]/Table1[[#This Row],[Leads]],0)</f>
        <v>0.19636363636363635</v>
      </c>
      <c r="N92" s="3">
        <f>IFERROR(Table1[[#This Row],[Conversions]]/Table1[[#This Row],[Impressions]],0)</f>
        <v>1.957301823190402E-3</v>
      </c>
      <c r="O92" s="4">
        <f>IFERROR(Table1[[#This Row],[Spend]]/Table1[[#This Row],[Leads]],0)</f>
        <v>40.803636363636365</v>
      </c>
      <c r="P92" s="4">
        <f>IFERROR(Table1[[#This Row],[Spend]]/Table1[[#This Row],[Conversions]],0)</f>
        <v>207.7962962962963</v>
      </c>
      <c r="Q92" s="4">
        <f>IFERROR(Table1[[#This Row],[Revenue]]/Table1[[#This Row],[Conversions]],0)</f>
        <v>189</v>
      </c>
      <c r="R92" s="3">
        <f>IFERROR((Table1[[#This Row],[Revenue]]-Table1[[#This Row],[Spend]])/Table1[[#This Row],[Spend]],0)</f>
        <v>-9.0455396132252022E-2</v>
      </c>
      <c r="S92" s="6">
        <f>IFERROR(Table1[[#This Row],[Revenue]]/Table1[[#This Row],[Spend]],0)</f>
        <v>0.90954460386774794</v>
      </c>
      <c r="T92" s="4">
        <f>Table1[[#This Row],[Revenue]]-Table1[[#This Row],[Spend]]</f>
        <v>-1015</v>
      </c>
      <c r="U92" s="4" t="str">
        <f>TEXT(Table1[[#This Row],[Date]],"MMM")</f>
        <v>Jan</v>
      </c>
      <c r="V92" s="4" t="str">
        <f>IF(Table1[[#This Row],[ROI (%)]]&gt;0,"Profitable","Loss-Making")</f>
        <v>Loss-Making</v>
      </c>
    </row>
    <row r="93" spans="1:22" x14ac:dyDescent="0.35">
      <c r="A93" s="1" t="s">
        <v>106</v>
      </c>
      <c r="B93" t="s">
        <v>11</v>
      </c>
      <c r="C93" t="s">
        <v>255</v>
      </c>
      <c r="D93" s="2">
        <v>4601</v>
      </c>
      <c r="E93">
        <v>69003</v>
      </c>
      <c r="F93">
        <v>3369</v>
      </c>
      <c r="G93">
        <v>943</v>
      </c>
      <c r="H93">
        <v>194</v>
      </c>
      <c r="I93" s="2">
        <v>41128</v>
      </c>
      <c r="J93" t="s">
        <v>256</v>
      </c>
      <c r="K93" s="3">
        <f>IFERROR(Table1[[#This Row],[Clicks]]/Table1[[#This Row],[Impressions]],0)</f>
        <v>4.8823964175470629E-2</v>
      </c>
      <c r="L93" s="3">
        <f>IFERROR(Table1[[#This Row],[Leads]]/Table1[[#This Row],[Clicks]],0)</f>
        <v>0.27990501632531911</v>
      </c>
      <c r="M93" s="3">
        <f>IFERROR(Table1[[#This Row],[Conversions]]/Table1[[#This Row],[Leads]],0)</f>
        <v>0.20572640509013787</v>
      </c>
      <c r="N93" s="3">
        <f>IFERROR(Table1[[#This Row],[Conversions]]/Table1[[#This Row],[Impressions]],0)</f>
        <v>2.8114719649870294E-3</v>
      </c>
      <c r="O93" s="4">
        <f>IFERROR(Table1[[#This Row],[Spend]]/Table1[[#This Row],[Leads]],0)</f>
        <v>4.8791092258748678</v>
      </c>
      <c r="P93" s="4">
        <f>IFERROR(Table1[[#This Row],[Spend]]/Table1[[#This Row],[Conversions]],0)</f>
        <v>23.716494845360824</v>
      </c>
      <c r="Q93" s="4">
        <f>IFERROR(Table1[[#This Row],[Revenue]]/Table1[[#This Row],[Conversions]],0)</f>
        <v>212</v>
      </c>
      <c r="R93" s="3">
        <f>IFERROR((Table1[[#This Row],[Revenue]]-Table1[[#This Row],[Spend]])/Table1[[#This Row],[Spend]],0)</f>
        <v>7.9389263203651383</v>
      </c>
      <c r="S93" s="6">
        <f>IFERROR(Table1[[#This Row],[Revenue]]/Table1[[#This Row],[Spend]],0)</f>
        <v>8.9389263203651375</v>
      </c>
      <c r="T93" s="4">
        <f>Table1[[#This Row],[Revenue]]-Table1[[#This Row],[Spend]]</f>
        <v>36527</v>
      </c>
      <c r="U93" s="4" t="str">
        <f>TEXT(Table1[[#This Row],[Date]],"MMM")</f>
        <v>Feb</v>
      </c>
      <c r="V93" s="4" t="str">
        <f>IF(Table1[[#This Row],[ROI (%)]]&gt;0,"Profitable","Loss-Making")</f>
        <v>Profitable</v>
      </c>
    </row>
    <row r="94" spans="1:22" x14ac:dyDescent="0.35">
      <c r="A94" s="1" t="s">
        <v>109</v>
      </c>
      <c r="B94" t="s">
        <v>28</v>
      </c>
      <c r="C94" t="s">
        <v>257</v>
      </c>
      <c r="D94" s="2">
        <v>8538</v>
      </c>
      <c r="E94">
        <v>94314</v>
      </c>
      <c r="F94">
        <v>4888</v>
      </c>
      <c r="G94">
        <v>1244</v>
      </c>
      <c r="H94">
        <v>80</v>
      </c>
      <c r="I94" s="2">
        <v>14240</v>
      </c>
      <c r="J94" t="s">
        <v>258</v>
      </c>
      <c r="K94" s="3">
        <f>IFERROR(Table1[[#This Row],[Clicks]]/Table1[[#This Row],[Impressions]],0)</f>
        <v>5.1826876179570373E-2</v>
      </c>
      <c r="L94" s="3">
        <f>IFERROR(Table1[[#This Row],[Leads]]/Table1[[#This Row],[Clicks]],0)</f>
        <v>0.25450081833060556</v>
      </c>
      <c r="M94" s="3">
        <f>IFERROR(Table1[[#This Row],[Conversions]]/Table1[[#This Row],[Leads]],0)</f>
        <v>6.4308681672025719E-2</v>
      </c>
      <c r="N94" s="3">
        <f>IFERROR(Table1[[#This Row],[Conversions]]/Table1[[#This Row],[Impressions]],0)</f>
        <v>8.4823037937103714E-4</v>
      </c>
      <c r="O94" s="4">
        <f>IFERROR(Table1[[#This Row],[Spend]]/Table1[[#This Row],[Leads]],0)</f>
        <v>6.863344051446945</v>
      </c>
      <c r="P94" s="4">
        <f>IFERROR(Table1[[#This Row],[Spend]]/Table1[[#This Row],[Conversions]],0)</f>
        <v>106.72499999999999</v>
      </c>
      <c r="Q94" s="4">
        <f>IFERROR(Table1[[#This Row],[Revenue]]/Table1[[#This Row],[Conversions]],0)</f>
        <v>178</v>
      </c>
      <c r="R94" s="3">
        <f>IFERROR((Table1[[#This Row],[Revenue]]-Table1[[#This Row],[Spend]])/Table1[[#This Row],[Spend]],0)</f>
        <v>0.66783790114780983</v>
      </c>
      <c r="S94" s="6">
        <f>IFERROR(Table1[[#This Row],[Revenue]]/Table1[[#This Row],[Spend]],0)</f>
        <v>1.6678379011478097</v>
      </c>
      <c r="T94" s="4">
        <f>Table1[[#This Row],[Revenue]]-Table1[[#This Row],[Spend]]</f>
        <v>5702</v>
      </c>
      <c r="U94" s="4" t="str">
        <f>TEXT(Table1[[#This Row],[Date]],"MMM")</f>
        <v>Feb</v>
      </c>
      <c r="V94" s="4" t="str">
        <f>IF(Table1[[#This Row],[ROI (%)]]&gt;0,"Profitable","Loss-Making")</f>
        <v>Profitable</v>
      </c>
    </row>
    <row r="95" spans="1:22" x14ac:dyDescent="0.35">
      <c r="A95" s="1" t="s">
        <v>112</v>
      </c>
      <c r="B95" t="s">
        <v>15</v>
      </c>
      <c r="C95" t="s">
        <v>259</v>
      </c>
      <c r="D95" s="2">
        <v>10122</v>
      </c>
      <c r="E95">
        <v>37456</v>
      </c>
      <c r="F95">
        <v>2561</v>
      </c>
      <c r="G95">
        <v>420</v>
      </c>
      <c r="H95">
        <v>24</v>
      </c>
      <c r="I95" s="2">
        <v>4728</v>
      </c>
      <c r="J95" t="s">
        <v>260</v>
      </c>
      <c r="K95" s="3">
        <f>IFERROR(Table1[[#This Row],[Clicks]]/Table1[[#This Row],[Impressions]],0)</f>
        <v>6.8373558308415211E-2</v>
      </c>
      <c r="L95" s="3">
        <f>IFERROR(Table1[[#This Row],[Leads]]/Table1[[#This Row],[Clicks]],0)</f>
        <v>0.16399843811011325</v>
      </c>
      <c r="M95" s="3">
        <f>IFERROR(Table1[[#This Row],[Conversions]]/Table1[[#This Row],[Leads]],0)</f>
        <v>5.7142857142857141E-2</v>
      </c>
      <c r="N95" s="3">
        <f>IFERROR(Table1[[#This Row],[Conversions]]/Table1[[#This Row],[Impressions]],0)</f>
        <v>6.4075181546347719E-4</v>
      </c>
      <c r="O95" s="4">
        <f>IFERROR(Table1[[#This Row],[Spend]]/Table1[[#This Row],[Leads]],0)</f>
        <v>24.1</v>
      </c>
      <c r="P95" s="4">
        <f>IFERROR(Table1[[#This Row],[Spend]]/Table1[[#This Row],[Conversions]],0)</f>
        <v>421.75</v>
      </c>
      <c r="Q95" s="4">
        <f>IFERROR(Table1[[#This Row],[Revenue]]/Table1[[#This Row],[Conversions]],0)</f>
        <v>197</v>
      </c>
      <c r="R95" s="3">
        <f>IFERROR((Table1[[#This Row],[Revenue]]-Table1[[#This Row],[Spend]])/Table1[[#This Row],[Spend]],0)</f>
        <v>-0.53289863663307646</v>
      </c>
      <c r="S95" s="6">
        <f>IFERROR(Table1[[#This Row],[Revenue]]/Table1[[#This Row],[Spend]],0)</f>
        <v>0.46710136336692354</v>
      </c>
      <c r="T95" s="4">
        <f>Table1[[#This Row],[Revenue]]-Table1[[#This Row],[Spend]]</f>
        <v>-5394</v>
      </c>
      <c r="U95" s="4" t="str">
        <f>TEXT(Table1[[#This Row],[Date]],"MMM")</f>
        <v>Feb</v>
      </c>
      <c r="V95" s="4" t="str">
        <f>IF(Table1[[#This Row],[ROI (%)]]&gt;0,"Profitable","Loss-Making")</f>
        <v>Loss-Making</v>
      </c>
    </row>
    <row r="96" spans="1:22" x14ac:dyDescent="0.35">
      <c r="A96" s="1" t="s">
        <v>115</v>
      </c>
      <c r="B96" t="s">
        <v>15</v>
      </c>
      <c r="C96" t="s">
        <v>261</v>
      </c>
      <c r="D96" s="2">
        <v>12926</v>
      </c>
      <c r="E96">
        <v>34678</v>
      </c>
      <c r="F96">
        <v>2493</v>
      </c>
      <c r="G96">
        <v>263</v>
      </c>
      <c r="H96">
        <v>43</v>
      </c>
      <c r="I96" s="2">
        <v>6837</v>
      </c>
      <c r="J96" t="s">
        <v>262</v>
      </c>
      <c r="K96" s="3">
        <f>IFERROR(Table1[[#This Row],[Clicks]]/Table1[[#This Row],[Impressions]],0)</f>
        <v>7.1889959051848432E-2</v>
      </c>
      <c r="L96" s="3">
        <f>IFERROR(Table1[[#This Row],[Leads]]/Table1[[#This Row],[Clicks]],0)</f>
        <v>0.10549538708383474</v>
      </c>
      <c r="M96" s="3">
        <f>IFERROR(Table1[[#This Row],[Conversions]]/Table1[[#This Row],[Leads]],0)</f>
        <v>0.1634980988593156</v>
      </c>
      <c r="N96" s="3">
        <f>IFERROR(Table1[[#This Row],[Conversions]]/Table1[[#This Row],[Impressions]],0)</f>
        <v>1.2399792375569526E-3</v>
      </c>
      <c r="O96" s="4">
        <f>IFERROR(Table1[[#This Row],[Spend]]/Table1[[#This Row],[Leads]],0)</f>
        <v>49.148288973384034</v>
      </c>
      <c r="P96" s="4">
        <f>IFERROR(Table1[[#This Row],[Spend]]/Table1[[#This Row],[Conversions]],0)</f>
        <v>300.60465116279067</v>
      </c>
      <c r="Q96" s="4">
        <f>IFERROR(Table1[[#This Row],[Revenue]]/Table1[[#This Row],[Conversions]],0)</f>
        <v>159</v>
      </c>
      <c r="R96" s="3">
        <f>IFERROR((Table1[[#This Row],[Revenue]]-Table1[[#This Row],[Spend]])/Table1[[#This Row],[Spend]],0)</f>
        <v>-0.47106606838929288</v>
      </c>
      <c r="S96" s="6">
        <f>IFERROR(Table1[[#This Row],[Revenue]]/Table1[[#This Row],[Spend]],0)</f>
        <v>0.52893393161070712</v>
      </c>
      <c r="T96" s="4">
        <f>Table1[[#This Row],[Revenue]]-Table1[[#This Row],[Spend]]</f>
        <v>-6089</v>
      </c>
      <c r="U96" s="4" t="str">
        <f>TEXT(Table1[[#This Row],[Date]],"MMM")</f>
        <v>Feb</v>
      </c>
      <c r="V96" s="4" t="str">
        <f>IF(Table1[[#This Row],[ROI (%)]]&gt;0,"Profitable","Loss-Making")</f>
        <v>Loss-Making</v>
      </c>
    </row>
    <row r="97" spans="1:22" x14ac:dyDescent="0.35">
      <c r="A97" s="1" t="s">
        <v>118</v>
      </c>
      <c r="B97" t="s">
        <v>11</v>
      </c>
      <c r="C97" t="s">
        <v>263</v>
      </c>
      <c r="D97" s="2">
        <v>6919</v>
      </c>
      <c r="E97">
        <v>62543</v>
      </c>
      <c r="F97">
        <v>4325</v>
      </c>
      <c r="G97">
        <v>944</v>
      </c>
      <c r="H97">
        <v>235</v>
      </c>
      <c r="I97" s="2">
        <v>45590</v>
      </c>
      <c r="J97" t="s">
        <v>264</v>
      </c>
      <c r="K97" s="3">
        <f>IFERROR(Table1[[#This Row],[Clicks]]/Table1[[#This Row],[Impressions]],0)</f>
        <v>6.9152423132884569E-2</v>
      </c>
      <c r="L97" s="3">
        <f>IFERROR(Table1[[#This Row],[Leads]]/Table1[[#This Row],[Clicks]],0)</f>
        <v>0.21826589595375723</v>
      </c>
      <c r="M97" s="3">
        <f>IFERROR(Table1[[#This Row],[Conversions]]/Table1[[#This Row],[Leads]],0)</f>
        <v>0.2489406779661017</v>
      </c>
      <c r="N97" s="3">
        <f>IFERROR(Table1[[#This Row],[Conversions]]/Table1[[#This Row],[Impressions]],0)</f>
        <v>3.7574148985497977E-3</v>
      </c>
      <c r="O97" s="4">
        <f>IFERROR(Table1[[#This Row],[Spend]]/Table1[[#This Row],[Leads]],0)</f>
        <v>7.3294491525423728</v>
      </c>
      <c r="P97" s="4">
        <f>IFERROR(Table1[[#This Row],[Spend]]/Table1[[#This Row],[Conversions]],0)</f>
        <v>29.442553191489363</v>
      </c>
      <c r="Q97" s="4">
        <f>IFERROR(Table1[[#This Row],[Revenue]]/Table1[[#This Row],[Conversions]],0)</f>
        <v>194</v>
      </c>
      <c r="R97" s="3">
        <f>IFERROR((Table1[[#This Row],[Revenue]]-Table1[[#This Row],[Spend]])/Table1[[#This Row],[Spend]],0)</f>
        <v>5.5891024714554129</v>
      </c>
      <c r="S97" s="6">
        <f>IFERROR(Table1[[#This Row],[Revenue]]/Table1[[#This Row],[Spend]],0)</f>
        <v>6.5891024714554129</v>
      </c>
      <c r="T97" s="4">
        <f>Table1[[#This Row],[Revenue]]-Table1[[#This Row],[Spend]]</f>
        <v>38671</v>
      </c>
      <c r="U97" s="4" t="str">
        <f>TEXT(Table1[[#This Row],[Date]],"MMM")</f>
        <v>Feb</v>
      </c>
      <c r="V97" s="4" t="str">
        <f>IF(Table1[[#This Row],[ROI (%)]]&gt;0,"Profitable","Loss-Making")</f>
        <v>Profitable</v>
      </c>
    </row>
    <row r="98" spans="1:22" x14ac:dyDescent="0.35">
      <c r="A98" s="1" t="s">
        <v>121</v>
      </c>
      <c r="B98" t="s">
        <v>15</v>
      </c>
      <c r="C98" t="s">
        <v>265</v>
      </c>
      <c r="D98" s="2">
        <v>13630</v>
      </c>
      <c r="E98">
        <v>27278</v>
      </c>
      <c r="F98">
        <v>2128</v>
      </c>
      <c r="G98">
        <v>355</v>
      </c>
      <c r="H98">
        <v>53</v>
      </c>
      <c r="I98" s="2">
        <v>10812</v>
      </c>
      <c r="J98" t="s">
        <v>266</v>
      </c>
      <c r="K98" s="3">
        <f>IFERROR(Table1[[#This Row],[Clicks]]/Table1[[#This Row],[Impressions]],0)</f>
        <v>7.8011584427010783E-2</v>
      </c>
      <c r="L98" s="3">
        <f>IFERROR(Table1[[#This Row],[Leads]]/Table1[[#This Row],[Clicks]],0)</f>
        <v>0.16682330827067668</v>
      </c>
      <c r="M98" s="3">
        <f>IFERROR(Table1[[#This Row],[Conversions]]/Table1[[#This Row],[Leads]],0)</f>
        <v>0.14929577464788732</v>
      </c>
      <c r="N98" s="3">
        <f>IFERROR(Table1[[#This Row],[Conversions]]/Table1[[#This Row],[Impressions]],0)</f>
        <v>1.9429576948456631E-3</v>
      </c>
      <c r="O98" s="4">
        <f>IFERROR(Table1[[#This Row],[Spend]]/Table1[[#This Row],[Leads]],0)</f>
        <v>38.394366197183096</v>
      </c>
      <c r="P98" s="4">
        <f>IFERROR(Table1[[#This Row],[Spend]]/Table1[[#This Row],[Conversions]],0)</f>
        <v>257.16981132075472</v>
      </c>
      <c r="Q98" s="4">
        <f>IFERROR(Table1[[#This Row],[Revenue]]/Table1[[#This Row],[Conversions]],0)</f>
        <v>204</v>
      </c>
      <c r="R98" s="3">
        <f>IFERROR((Table1[[#This Row],[Revenue]]-Table1[[#This Row],[Spend]])/Table1[[#This Row],[Spend]],0)</f>
        <v>-0.20674981658107117</v>
      </c>
      <c r="S98" s="6">
        <f>IFERROR(Table1[[#This Row],[Revenue]]/Table1[[#This Row],[Spend]],0)</f>
        <v>0.79325018341892883</v>
      </c>
      <c r="T98" s="4">
        <f>Table1[[#This Row],[Revenue]]-Table1[[#This Row],[Spend]]</f>
        <v>-2818</v>
      </c>
      <c r="U98" s="4" t="str">
        <f>TEXT(Table1[[#This Row],[Date]],"MMM")</f>
        <v>Feb</v>
      </c>
      <c r="V98" s="4" t="str">
        <f>IF(Table1[[#This Row],[ROI (%)]]&gt;0,"Profitable","Loss-Making")</f>
        <v>Loss-Making</v>
      </c>
    </row>
    <row r="99" spans="1:22" x14ac:dyDescent="0.35">
      <c r="A99" s="1" t="s">
        <v>124</v>
      </c>
      <c r="B99" t="s">
        <v>11</v>
      </c>
      <c r="C99" t="s">
        <v>267</v>
      </c>
      <c r="D99" s="2">
        <v>4179</v>
      </c>
      <c r="E99">
        <v>68801</v>
      </c>
      <c r="F99">
        <v>4743</v>
      </c>
      <c r="G99">
        <v>1000</v>
      </c>
      <c r="H99">
        <v>209</v>
      </c>
      <c r="I99" s="2">
        <v>51205</v>
      </c>
      <c r="J99" t="s">
        <v>268</v>
      </c>
      <c r="K99" s="3">
        <f>IFERROR(Table1[[#This Row],[Clicks]]/Table1[[#This Row],[Impressions]],0)</f>
        <v>6.8937951483263329E-2</v>
      </c>
      <c r="L99" s="3">
        <f>IFERROR(Table1[[#This Row],[Leads]]/Table1[[#This Row],[Clicks]],0)</f>
        <v>0.21083702298123549</v>
      </c>
      <c r="M99" s="3">
        <f>IFERROR(Table1[[#This Row],[Conversions]]/Table1[[#This Row],[Leads]],0)</f>
        <v>0.20899999999999999</v>
      </c>
      <c r="N99" s="3">
        <f>IFERROR(Table1[[#This Row],[Conversions]]/Table1[[#This Row],[Impressions]],0)</f>
        <v>3.0377465443816223E-3</v>
      </c>
      <c r="O99" s="4">
        <f>IFERROR(Table1[[#This Row],[Spend]]/Table1[[#This Row],[Leads]],0)</f>
        <v>4.1790000000000003</v>
      </c>
      <c r="P99" s="4">
        <f>IFERROR(Table1[[#This Row],[Spend]]/Table1[[#This Row],[Conversions]],0)</f>
        <v>19.995215311004785</v>
      </c>
      <c r="Q99" s="4">
        <f>IFERROR(Table1[[#This Row],[Revenue]]/Table1[[#This Row],[Conversions]],0)</f>
        <v>245</v>
      </c>
      <c r="R99" s="3">
        <f>IFERROR((Table1[[#This Row],[Revenue]]-Table1[[#This Row],[Spend]])/Table1[[#This Row],[Spend]],0)</f>
        <v>11.252931323283082</v>
      </c>
      <c r="S99" s="6">
        <f>IFERROR(Table1[[#This Row],[Revenue]]/Table1[[#This Row],[Spend]],0)</f>
        <v>12.252931323283082</v>
      </c>
      <c r="T99" s="4">
        <f>Table1[[#This Row],[Revenue]]-Table1[[#This Row],[Spend]]</f>
        <v>47026</v>
      </c>
      <c r="U99" s="4" t="str">
        <f>TEXT(Table1[[#This Row],[Date]],"MMM")</f>
        <v>Feb</v>
      </c>
      <c r="V99" s="4" t="str">
        <f>IF(Table1[[#This Row],[ROI (%)]]&gt;0,"Profitable","Loss-Making")</f>
        <v>Profitable</v>
      </c>
    </row>
    <row r="100" spans="1:22" x14ac:dyDescent="0.35">
      <c r="A100" s="1" t="s">
        <v>127</v>
      </c>
      <c r="B100" t="s">
        <v>11</v>
      </c>
      <c r="C100" t="s">
        <v>269</v>
      </c>
      <c r="D100" s="2">
        <v>6538</v>
      </c>
      <c r="E100">
        <v>56176</v>
      </c>
      <c r="F100">
        <v>4523</v>
      </c>
      <c r="G100">
        <v>909</v>
      </c>
      <c r="H100">
        <v>202</v>
      </c>
      <c r="I100" s="2">
        <v>46056</v>
      </c>
      <c r="J100" t="s">
        <v>270</v>
      </c>
      <c r="K100" s="3">
        <f>IFERROR(Table1[[#This Row],[Clicks]]/Table1[[#This Row],[Impressions]],0)</f>
        <v>8.0514810595272004E-2</v>
      </c>
      <c r="L100" s="3">
        <f>IFERROR(Table1[[#This Row],[Leads]]/Table1[[#This Row],[Clicks]],0)</f>
        <v>0.2009728056599602</v>
      </c>
      <c r="M100" s="3">
        <f>IFERROR(Table1[[#This Row],[Conversions]]/Table1[[#This Row],[Leads]],0)</f>
        <v>0.22222222222222221</v>
      </c>
      <c r="N100" s="3">
        <f>IFERROR(Table1[[#This Row],[Conversions]]/Table1[[#This Row],[Impressions]],0)</f>
        <v>3.5958416405582456E-3</v>
      </c>
      <c r="O100" s="4">
        <f>IFERROR(Table1[[#This Row],[Spend]]/Table1[[#This Row],[Leads]],0)</f>
        <v>7.1925192519251926</v>
      </c>
      <c r="P100" s="4">
        <f>IFERROR(Table1[[#This Row],[Spend]]/Table1[[#This Row],[Conversions]],0)</f>
        <v>32.366336633663366</v>
      </c>
      <c r="Q100" s="4">
        <f>IFERROR(Table1[[#This Row],[Revenue]]/Table1[[#This Row],[Conversions]],0)</f>
        <v>228</v>
      </c>
      <c r="R100" s="3">
        <f>IFERROR((Table1[[#This Row],[Revenue]]-Table1[[#This Row],[Spend]])/Table1[[#This Row],[Spend]],0)</f>
        <v>6.0443560721933309</v>
      </c>
      <c r="S100" s="6">
        <f>IFERROR(Table1[[#This Row],[Revenue]]/Table1[[#This Row],[Spend]],0)</f>
        <v>7.0443560721933309</v>
      </c>
      <c r="T100" s="4">
        <f>Table1[[#This Row],[Revenue]]-Table1[[#This Row],[Spend]]</f>
        <v>39518</v>
      </c>
      <c r="U100" s="4" t="str">
        <f>TEXT(Table1[[#This Row],[Date]],"MMM")</f>
        <v>Feb</v>
      </c>
      <c r="V100" s="4" t="str">
        <f>IF(Table1[[#This Row],[ROI (%)]]&gt;0,"Profitable","Loss-Making")</f>
        <v>Profitable</v>
      </c>
    </row>
    <row r="101" spans="1:22" x14ac:dyDescent="0.35">
      <c r="A101" s="1" t="s">
        <v>130</v>
      </c>
      <c r="B101" t="s">
        <v>11</v>
      </c>
      <c r="C101" t="s">
        <v>271</v>
      </c>
      <c r="D101" s="2">
        <v>6860</v>
      </c>
      <c r="E101">
        <v>63878</v>
      </c>
      <c r="F101">
        <v>4722</v>
      </c>
      <c r="G101">
        <v>834</v>
      </c>
      <c r="H101">
        <v>218</v>
      </c>
      <c r="I101" s="2">
        <v>40548</v>
      </c>
      <c r="J101" t="s">
        <v>272</v>
      </c>
      <c r="K101" s="3">
        <f>IFERROR(Table1[[#This Row],[Clicks]]/Table1[[#This Row],[Impressions]],0)</f>
        <v>7.3922164125363982E-2</v>
      </c>
      <c r="L101" s="3">
        <f>IFERROR(Table1[[#This Row],[Leads]]/Table1[[#This Row],[Clicks]],0)</f>
        <v>0.17662007623888182</v>
      </c>
      <c r="M101" s="3">
        <f>IFERROR(Table1[[#This Row],[Conversions]]/Table1[[#This Row],[Leads]],0)</f>
        <v>0.26139088729016785</v>
      </c>
      <c r="N101" s="3">
        <f>IFERROR(Table1[[#This Row],[Conversions]]/Table1[[#This Row],[Impressions]],0)</f>
        <v>3.4127555652963461E-3</v>
      </c>
      <c r="O101" s="4">
        <f>IFERROR(Table1[[#This Row],[Spend]]/Table1[[#This Row],[Leads]],0)</f>
        <v>8.2254196642685855</v>
      </c>
      <c r="P101" s="4">
        <f>IFERROR(Table1[[#This Row],[Spend]]/Table1[[#This Row],[Conversions]],0)</f>
        <v>31.467889908256879</v>
      </c>
      <c r="Q101" s="4">
        <f>IFERROR(Table1[[#This Row],[Revenue]]/Table1[[#This Row],[Conversions]],0)</f>
        <v>186</v>
      </c>
      <c r="R101" s="3">
        <f>IFERROR((Table1[[#This Row],[Revenue]]-Table1[[#This Row],[Spend]])/Table1[[#This Row],[Spend]],0)</f>
        <v>4.9107871720116618</v>
      </c>
      <c r="S101" s="6">
        <f>IFERROR(Table1[[#This Row],[Revenue]]/Table1[[#This Row],[Spend]],0)</f>
        <v>5.9107871720116618</v>
      </c>
      <c r="T101" s="4">
        <f>Table1[[#This Row],[Revenue]]-Table1[[#This Row],[Spend]]</f>
        <v>33688</v>
      </c>
      <c r="U101" s="4" t="str">
        <f>TEXT(Table1[[#This Row],[Date]],"MMM")</f>
        <v>Feb</v>
      </c>
      <c r="V101" s="4" t="str">
        <f>IF(Table1[[#This Row],[ROI (%)]]&gt;0,"Profitable","Loss-Making")</f>
        <v>Profitable</v>
      </c>
    </row>
    <row r="102" spans="1:22" x14ac:dyDescent="0.35">
      <c r="A102" s="1" t="s">
        <v>133</v>
      </c>
      <c r="B102" t="s">
        <v>28</v>
      </c>
      <c r="C102" t="s">
        <v>273</v>
      </c>
      <c r="D102" s="2">
        <v>8184</v>
      </c>
      <c r="E102">
        <v>94364</v>
      </c>
      <c r="F102">
        <v>5966</v>
      </c>
      <c r="G102">
        <v>1115</v>
      </c>
      <c r="H102">
        <v>94</v>
      </c>
      <c r="I102" s="2">
        <v>16638</v>
      </c>
      <c r="J102" t="s">
        <v>274</v>
      </c>
      <c r="K102" s="3">
        <f>IFERROR(Table1[[#This Row],[Clicks]]/Table1[[#This Row],[Impressions]],0)</f>
        <v>6.3223263108812683E-2</v>
      </c>
      <c r="L102" s="3">
        <f>IFERROR(Table1[[#This Row],[Leads]]/Table1[[#This Row],[Clicks]],0)</f>
        <v>0.18689239021119677</v>
      </c>
      <c r="M102" s="3">
        <f>IFERROR(Table1[[#This Row],[Conversions]]/Table1[[#This Row],[Leads]],0)</f>
        <v>8.4304932735426011E-2</v>
      </c>
      <c r="N102" s="3">
        <f>IFERROR(Table1[[#This Row],[Conversions]]/Table1[[#This Row],[Impressions]],0)</f>
        <v>9.96142596752999E-4</v>
      </c>
      <c r="O102" s="4">
        <f>IFERROR(Table1[[#This Row],[Spend]]/Table1[[#This Row],[Leads]],0)</f>
        <v>7.3399103139013455</v>
      </c>
      <c r="P102" s="4">
        <f>IFERROR(Table1[[#This Row],[Spend]]/Table1[[#This Row],[Conversions]],0)</f>
        <v>87.063829787234042</v>
      </c>
      <c r="Q102" s="4">
        <f>IFERROR(Table1[[#This Row],[Revenue]]/Table1[[#This Row],[Conversions]],0)</f>
        <v>177</v>
      </c>
      <c r="R102" s="3">
        <f>IFERROR((Table1[[#This Row],[Revenue]]-Table1[[#This Row],[Spend]])/Table1[[#This Row],[Spend]],0)</f>
        <v>1.032991202346041</v>
      </c>
      <c r="S102" s="6">
        <f>IFERROR(Table1[[#This Row],[Revenue]]/Table1[[#This Row],[Spend]],0)</f>
        <v>2.0329912023460412</v>
      </c>
      <c r="T102" s="4">
        <f>Table1[[#This Row],[Revenue]]-Table1[[#This Row],[Spend]]</f>
        <v>8454</v>
      </c>
      <c r="U102" s="4" t="str">
        <f>TEXT(Table1[[#This Row],[Date]],"MMM")</f>
        <v>Feb</v>
      </c>
      <c r="V102" s="4" t="str">
        <f>IF(Table1[[#This Row],[ROI (%)]]&gt;0,"Profitable","Loss-Making")</f>
        <v>Profitable</v>
      </c>
    </row>
    <row r="103" spans="1:22" x14ac:dyDescent="0.35">
      <c r="A103" s="1" t="s">
        <v>136</v>
      </c>
      <c r="B103" t="s">
        <v>28</v>
      </c>
      <c r="C103" t="s">
        <v>275</v>
      </c>
      <c r="D103" s="2">
        <v>8665</v>
      </c>
      <c r="E103">
        <v>84430</v>
      </c>
      <c r="F103">
        <v>5003</v>
      </c>
      <c r="G103">
        <v>1207</v>
      </c>
      <c r="H103">
        <v>58</v>
      </c>
      <c r="I103" s="2">
        <v>7018</v>
      </c>
      <c r="J103" t="s">
        <v>276</v>
      </c>
      <c r="K103" s="3">
        <f>IFERROR(Table1[[#This Row],[Clicks]]/Table1[[#This Row],[Impressions]],0)</f>
        <v>5.9256188558569227E-2</v>
      </c>
      <c r="L103" s="3">
        <f>IFERROR(Table1[[#This Row],[Leads]]/Table1[[#This Row],[Clicks]],0)</f>
        <v>0.24125524685188887</v>
      </c>
      <c r="M103" s="3">
        <f>IFERROR(Table1[[#This Row],[Conversions]]/Table1[[#This Row],[Leads]],0)</f>
        <v>4.8053024026512015E-2</v>
      </c>
      <c r="N103" s="3">
        <f>IFERROR(Table1[[#This Row],[Conversions]]/Table1[[#This Row],[Impressions]],0)</f>
        <v>6.869596115124956E-4</v>
      </c>
      <c r="O103" s="4">
        <f>IFERROR(Table1[[#This Row],[Spend]]/Table1[[#This Row],[Leads]],0)</f>
        <v>7.1789560894780449</v>
      </c>
      <c r="P103" s="4">
        <f>IFERROR(Table1[[#This Row],[Spend]]/Table1[[#This Row],[Conversions]],0)</f>
        <v>149.39655172413794</v>
      </c>
      <c r="Q103" s="4">
        <f>IFERROR(Table1[[#This Row],[Revenue]]/Table1[[#This Row],[Conversions]],0)</f>
        <v>121</v>
      </c>
      <c r="R103" s="3">
        <f>IFERROR((Table1[[#This Row],[Revenue]]-Table1[[#This Row],[Spend]])/Table1[[#This Row],[Spend]],0)</f>
        <v>-0.19007501442585112</v>
      </c>
      <c r="S103" s="6">
        <f>IFERROR(Table1[[#This Row],[Revenue]]/Table1[[#This Row],[Spend]],0)</f>
        <v>0.80992498557414883</v>
      </c>
      <c r="T103" s="4">
        <f>Table1[[#This Row],[Revenue]]-Table1[[#This Row],[Spend]]</f>
        <v>-1647</v>
      </c>
      <c r="U103" s="4" t="str">
        <f>TEXT(Table1[[#This Row],[Date]],"MMM")</f>
        <v>Feb</v>
      </c>
      <c r="V103" s="4" t="str">
        <f>IF(Table1[[#This Row],[ROI (%)]]&gt;0,"Profitable","Loss-Making")</f>
        <v>Loss-Making</v>
      </c>
    </row>
    <row r="104" spans="1:22" x14ac:dyDescent="0.35">
      <c r="A104" s="1" t="s">
        <v>139</v>
      </c>
      <c r="B104" t="s">
        <v>11</v>
      </c>
      <c r="C104" t="s">
        <v>277</v>
      </c>
      <c r="D104" s="2">
        <v>6192</v>
      </c>
      <c r="E104">
        <v>40885</v>
      </c>
      <c r="F104">
        <v>4063</v>
      </c>
      <c r="G104">
        <v>921</v>
      </c>
      <c r="H104">
        <v>257</v>
      </c>
      <c r="I104" s="2">
        <v>49601</v>
      </c>
      <c r="J104" t="s">
        <v>278</v>
      </c>
      <c r="K104" s="3">
        <f>IFERROR(Table1[[#This Row],[Clicks]]/Table1[[#This Row],[Impressions]],0)</f>
        <v>9.9376299376299382E-2</v>
      </c>
      <c r="L104" s="3">
        <f>IFERROR(Table1[[#This Row],[Leads]]/Table1[[#This Row],[Clicks]],0)</f>
        <v>0.22667979325621462</v>
      </c>
      <c r="M104" s="3">
        <f>IFERROR(Table1[[#This Row],[Conversions]]/Table1[[#This Row],[Leads]],0)</f>
        <v>0.27904451682953313</v>
      </c>
      <c r="N104" s="3">
        <f>IFERROR(Table1[[#This Row],[Conversions]]/Table1[[#This Row],[Impressions]],0)</f>
        <v>6.2859239329827567E-3</v>
      </c>
      <c r="O104" s="4">
        <f>IFERROR(Table1[[#This Row],[Spend]]/Table1[[#This Row],[Leads]],0)</f>
        <v>6.7231270358306192</v>
      </c>
      <c r="P104" s="4">
        <f>IFERROR(Table1[[#This Row],[Spend]]/Table1[[#This Row],[Conversions]],0)</f>
        <v>24.093385214007782</v>
      </c>
      <c r="Q104" s="4">
        <f>IFERROR(Table1[[#This Row],[Revenue]]/Table1[[#This Row],[Conversions]],0)</f>
        <v>193</v>
      </c>
      <c r="R104" s="3">
        <f>IFERROR((Table1[[#This Row],[Revenue]]-Table1[[#This Row],[Spend]])/Table1[[#This Row],[Spend]],0)</f>
        <v>7.0104974160206721</v>
      </c>
      <c r="S104" s="6">
        <f>IFERROR(Table1[[#This Row],[Revenue]]/Table1[[#This Row],[Spend]],0)</f>
        <v>8.0104974160206712</v>
      </c>
      <c r="T104" s="4">
        <f>Table1[[#This Row],[Revenue]]-Table1[[#This Row],[Spend]]</f>
        <v>43409</v>
      </c>
      <c r="U104" s="4" t="str">
        <f>TEXT(Table1[[#This Row],[Date]],"MMM")</f>
        <v>Feb</v>
      </c>
      <c r="V104" s="4" t="str">
        <f>IF(Table1[[#This Row],[ROI (%)]]&gt;0,"Profitable","Loss-Making")</f>
        <v>Profitable</v>
      </c>
    </row>
    <row r="105" spans="1:22" x14ac:dyDescent="0.35">
      <c r="A105" s="1" t="s">
        <v>142</v>
      </c>
      <c r="B105" t="s">
        <v>28</v>
      </c>
      <c r="C105" t="s">
        <v>279</v>
      </c>
      <c r="D105" s="2">
        <v>7893</v>
      </c>
      <c r="E105">
        <v>72274</v>
      </c>
      <c r="F105">
        <v>4022</v>
      </c>
      <c r="G105">
        <v>1159</v>
      </c>
      <c r="H105">
        <v>89</v>
      </c>
      <c r="I105" s="2">
        <v>15130</v>
      </c>
      <c r="J105" t="s">
        <v>280</v>
      </c>
      <c r="K105" s="3">
        <f>IFERROR(Table1[[#This Row],[Clicks]]/Table1[[#This Row],[Impressions]],0)</f>
        <v>5.5649334477128706E-2</v>
      </c>
      <c r="L105" s="3">
        <f>IFERROR(Table1[[#This Row],[Leads]]/Table1[[#This Row],[Clicks]],0)</f>
        <v>0.28816509199403284</v>
      </c>
      <c r="M105" s="3">
        <f>IFERROR(Table1[[#This Row],[Conversions]]/Table1[[#This Row],[Leads]],0)</f>
        <v>7.6790336496980152E-2</v>
      </c>
      <c r="N105" s="3">
        <f>IFERROR(Table1[[#This Row],[Conversions]]/Table1[[#This Row],[Impressions]],0)</f>
        <v>1.2314248554113512E-3</v>
      </c>
      <c r="O105" s="4">
        <f>IFERROR(Table1[[#This Row],[Spend]]/Table1[[#This Row],[Leads]],0)</f>
        <v>6.8101811906816225</v>
      </c>
      <c r="P105" s="4">
        <f>IFERROR(Table1[[#This Row],[Spend]]/Table1[[#This Row],[Conversions]],0)</f>
        <v>88.68539325842697</v>
      </c>
      <c r="Q105" s="4">
        <f>IFERROR(Table1[[#This Row],[Revenue]]/Table1[[#This Row],[Conversions]],0)</f>
        <v>170</v>
      </c>
      <c r="R105" s="3">
        <f>IFERROR((Table1[[#This Row],[Revenue]]-Table1[[#This Row],[Spend]])/Table1[[#This Row],[Spend]],0)</f>
        <v>0.91688838211073098</v>
      </c>
      <c r="S105" s="6">
        <f>IFERROR(Table1[[#This Row],[Revenue]]/Table1[[#This Row],[Spend]],0)</f>
        <v>1.916888382110731</v>
      </c>
      <c r="T105" s="4">
        <f>Table1[[#This Row],[Revenue]]-Table1[[#This Row],[Spend]]</f>
        <v>7237</v>
      </c>
      <c r="U105" s="4" t="str">
        <f>TEXT(Table1[[#This Row],[Date]],"MMM")</f>
        <v>Feb</v>
      </c>
      <c r="V105" s="4" t="str">
        <f>IF(Table1[[#This Row],[ROI (%)]]&gt;0,"Profitable","Loss-Making")</f>
        <v>Profitable</v>
      </c>
    </row>
    <row r="106" spans="1:22" x14ac:dyDescent="0.35">
      <c r="A106" s="1" t="s">
        <v>145</v>
      </c>
      <c r="B106" t="s">
        <v>15</v>
      </c>
      <c r="C106" t="s">
        <v>281</v>
      </c>
      <c r="D106" s="2">
        <v>10938</v>
      </c>
      <c r="E106">
        <v>25812</v>
      </c>
      <c r="F106">
        <v>1806</v>
      </c>
      <c r="G106">
        <v>210</v>
      </c>
      <c r="H106">
        <v>54</v>
      </c>
      <c r="I106" s="2">
        <v>11070</v>
      </c>
      <c r="J106" t="s">
        <v>282</v>
      </c>
      <c r="K106" s="3">
        <f>IFERROR(Table1[[#This Row],[Clicks]]/Table1[[#This Row],[Impressions]],0)</f>
        <v>6.9967456996745697E-2</v>
      </c>
      <c r="L106" s="3">
        <f>IFERROR(Table1[[#This Row],[Leads]]/Table1[[#This Row],[Clicks]],0)</f>
        <v>0.11627906976744186</v>
      </c>
      <c r="M106" s="3">
        <f>IFERROR(Table1[[#This Row],[Conversions]]/Table1[[#This Row],[Leads]],0)</f>
        <v>0.25714285714285712</v>
      </c>
      <c r="N106" s="3">
        <f>IFERROR(Table1[[#This Row],[Conversions]]/Table1[[#This Row],[Impressions]],0)</f>
        <v>2.0920502092050207E-3</v>
      </c>
      <c r="O106" s="4">
        <f>IFERROR(Table1[[#This Row],[Spend]]/Table1[[#This Row],[Leads]],0)</f>
        <v>52.085714285714289</v>
      </c>
      <c r="P106" s="4">
        <f>IFERROR(Table1[[#This Row],[Spend]]/Table1[[#This Row],[Conversions]],0)</f>
        <v>202.55555555555554</v>
      </c>
      <c r="Q106" s="4">
        <f>IFERROR(Table1[[#This Row],[Revenue]]/Table1[[#This Row],[Conversions]],0)</f>
        <v>205</v>
      </c>
      <c r="R106" s="3">
        <f>IFERROR((Table1[[#This Row],[Revenue]]-Table1[[#This Row],[Spend]])/Table1[[#This Row],[Spend]],0)</f>
        <v>1.2068019747668678E-2</v>
      </c>
      <c r="S106" s="6">
        <f>IFERROR(Table1[[#This Row],[Revenue]]/Table1[[#This Row],[Spend]],0)</f>
        <v>1.0120680197476686</v>
      </c>
      <c r="T106" s="4">
        <f>Table1[[#This Row],[Revenue]]-Table1[[#This Row],[Spend]]</f>
        <v>132</v>
      </c>
      <c r="U106" s="4" t="str">
        <f>TEXT(Table1[[#This Row],[Date]],"MMM")</f>
        <v>Feb</v>
      </c>
      <c r="V106" s="4" t="str">
        <f>IF(Table1[[#This Row],[ROI (%)]]&gt;0,"Profitable","Loss-Making")</f>
        <v>Profitable</v>
      </c>
    </row>
    <row r="107" spans="1:22" x14ac:dyDescent="0.35">
      <c r="A107" s="1" t="s">
        <v>148</v>
      </c>
      <c r="B107" t="s">
        <v>15</v>
      </c>
      <c r="C107" t="s">
        <v>283</v>
      </c>
      <c r="D107" s="2">
        <v>11975</v>
      </c>
      <c r="E107">
        <v>34895</v>
      </c>
      <c r="F107">
        <v>2863</v>
      </c>
      <c r="G107">
        <v>252</v>
      </c>
      <c r="H107">
        <v>29</v>
      </c>
      <c r="I107" s="2">
        <v>6148</v>
      </c>
      <c r="J107" t="s">
        <v>284</v>
      </c>
      <c r="K107" s="3">
        <f>IFERROR(Table1[[#This Row],[Clicks]]/Table1[[#This Row],[Impressions]],0)</f>
        <v>8.2046138415245731E-2</v>
      </c>
      <c r="L107" s="3">
        <f>IFERROR(Table1[[#This Row],[Leads]]/Table1[[#This Row],[Clicks]],0)</f>
        <v>8.8019559902200492E-2</v>
      </c>
      <c r="M107" s="3">
        <f>IFERROR(Table1[[#This Row],[Conversions]]/Table1[[#This Row],[Leads]],0)</f>
        <v>0.11507936507936507</v>
      </c>
      <c r="N107" s="3">
        <f>IFERROR(Table1[[#This Row],[Conversions]]/Table1[[#This Row],[Impressions]],0)</f>
        <v>8.3106462243874482E-4</v>
      </c>
      <c r="O107" s="4">
        <f>IFERROR(Table1[[#This Row],[Spend]]/Table1[[#This Row],[Leads]],0)</f>
        <v>47.519841269841272</v>
      </c>
      <c r="P107" s="4">
        <f>IFERROR(Table1[[#This Row],[Spend]]/Table1[[#This Row],[Conversions]],0)</f>
        <v>412.93103448275861</v>
      </c>
      <c r="Q107" s="4">
        <f>IFERROR(Table1[[#This Row],[Revenue]]/Table1[[#This Row],[Conversions]],0)</f>
        <v>212</v>
      </c>
      <c r="R107" s="3">
        <f>IFERROR((Table1[[#This Row],[Revenue]]-Table1[[#This Row],[Spend]])/Table1[[#This Row],[Spend]],0)</f>
        <v>-0.48659707724425888</v>
      </c>
      <c r="S107" s="6">
        <f>IFERROR(Table1[[#This Row],[Revenue]]/Table1[[#This Row],[Spend]],0)</f>
        <v>0.51340292275574118</v>
      </c>
      <c r="T107" s="4">
        <f>Table1[[#This Row],[Revenue]]-Table1[[#This Row],[Spend]]</f>
        <v>-5827</v>
      </c>
      <c r="U107" s="4" t="str">
        <f>TEXT(Table1[[#This Row],[Date]],"MMM")</f>
        <v>Feb</v>
      </c>
      <c r="V107" s="4" t="str">
        <f>IF(Table1[[#This Row],[ROI (%)]]&gt;0,"Profitable","Loss-Making")</f>
        <v>Loss-Making</v>
      </c>
    </row>
    <row r="108" spans="1:22" x14ac:dyDescent="0.35">
      <c r="A108" s="1" t="s">
        <v>151</v>
      </c>
      <c r="B108" t="s">
        <v>15</v>
      </c>
      <c r="C108" t="s">
        <v>285</v>
      </c>
      <c r="D108" s="2">
        <v>13405</v>
      </c>
      <c r="E108">
        <v>28006</v>
      </c>
      <c r="F108">
        <v>1663</v>
      </c>
      <c r="G108">
        <v>303</v>
      </c>
      <c r="H108">
        <v>24</v>
      </c>
      <c r="I108" s="2">
        <v>4392</v>
      </c>
      <c r="J108" t="s">
        <v>286</v>
      </c>
      <c r="K108" s="3">
        <f>IFERROR(Table1[[#This Row],[Clicks]]/Table1[[#This Row],[Impressions]],0)</f>
        <v>5.9380132828679572E-2</v>
      </c>
      <c r="L108" s="3">
        <f>IFERROR(Table1[[#This Row],[Leads]]/Table1[[#This Row],[Clicks]],0)</f>
        <v>0.18220084185207455</v>
      </c>
      <c r="M108" s="3">
        <f>IFERROR(Table1[[#This Row],[Conversions]]/Table1[[#This Row],[Leads]],0)</f>
        <v>7.9207920792079209E-2</v>
      </c>
      <c r="N108" s="3">
        <f>IFERROR(Table1[[#This Row],[Conversions]]/Table1[[#This Row],[Impressions]],0)</f>
        <v>8.5695922302363777E-4</v>
      </c>
      <c r="O108" s="4">
        <f>IFERROR(Table1[[#This Row],[Spend]]/Table1[[#This Row],[Leads]],0)</f>
        <v>44.240924092409244</v>
      </c>
      <c r="P108" s="4">
        <f>IFERROR(Table1[[#This Row],[Spend]]/Table1[[#This Row],[Conversions]],0)</f>
        <v>558.54166666666663</v>
      </c>
      <c r="Q108" s="4">
        <f>IFERROR(Table1[[#This Row],[Revenue]]/Table1[[#This Row],[Conversions]],0)</f>
        <v>183</v>
      </c>
      <c r="R108" s="3">
        <f>IFERROR((Table1[[#This Row],[Revenue]]-Table1[[#This Row],[Spend]])/Table1[[#This Row],[Spend]],0)</f>
        <v>-0.67236105930622903</v>
      </c>
      <c r="S108" s="6">
        <f>IFERROR(Table1[[#This Row],[Revenue]]/Table1[[#This Row],[Spend]],0)</f>
        <v>0.32763894069377097</v>
      </c>
      <c r="T108" s="4">
        <f>Table1[[#This Row],[Revenue]]-Table1[[#This Row],[Spend]]</f>
        <v>-9013</v>
      </c>
      <c r="U108" s="4" t="str">
        <f>TEXT(Table1[[#This Row],[Date]],"MMM")</f>
        <v>Feb</v>
      </c>
      <c r="V108" s="4" t="str">
        <f>IF(Table1[[#This Row],[ROI (%)]]&gt;0,"Profitable","Loss-Making")</f>
        <v>Loss-Making</v>
      </c>
    </row>
    <row r="109" spans="1:22" x14ac:dyDescent="0.35">
      <c r="A109" s="1" t="s">
        <v>154</v>
      </c>
      <c r="B109" t="s">
        <v>28</v>
      </c>
      <c r="C109" t="s">
        <v>287</v>
      </c>
      <c r="D109" s="2">
        <v>7551</v>
      </c>
      <c r="E109">
        <v>76528</v>
      </c>
      <c r="F109">
        <v>5541</v>
      </c>
      <c r="G109">
        <v>1395</v>
      </c>
      <c r="H109">
        <v>79</v>
      </c>
      <c r="I109" s="2">
        <v>11455</v>
      </c>
      <c r="J109" t="s">
        <v>288</v>
      </c>
      <c r="K109" s="3">
        <f>IFERROR(Table1[[#This Row],[Clicks]]/Table1[[#This Row],[Impressions]],0)</f>
        <v>7.2404871419611119E-2</v>
      </c>
      <c r="L109" s="3">
        <f>IFERROR(Table1[[#This Row],[Leads]]/Table1[[#This Row],[Clicks]],0)</f>
        <v>0.2517596101786681</v>
      </c>
      <c r="M109" s="3">
        <f>IFERROR(Table1[[#This Row],[Conversions]]/Table1[[#This Row],[Leads]],0)</f>
        <v>5.6630824372759854E-2</v>
      </c>
      <c r="N109" s="3">
        <f>IFERROR(Table1[[#This Row],[Conversions]]/Table1[[#This Row],[Impressions]],0)</f>
        <v>1.0323019025716077E-3</v>
      </c>
      <c r="O109" s="4">
        <f>IFERROR(Table1[[#This Row],[Spend]]/Table1[[#This Row],[Leads]],0)</f>
        <v>5.4129032258064518</v>
      </c>
      <c r="P109" s="4">
        <f>IFERROR(Table1[[#This Row],[Spend]]/Table1[[#This Row],[Conversions]],0)</f>
        <v>95.582278481012665</v>
      </c>
      <c r="Q109" s="4">
        <f>IFERROR(Table1[[#This Row],[Revenue]]/Table1[[#This Row],[Conversions]],0)</f>
        <v>145</v>
      </c>
      <c r="R109" s="3">
        <f>IFERROR((Table1[[#This Row],[Revenue]]-Table1[[#This Row],[Spend]])/Table1[[#This Row],[Spend]],0)</f>
        <v>0.51701761356111775</v>
      </c>
      <c r="S109" s="6">
        <f>IFERROR(Table1[[#This Row],[Revenue]]/Table1[[#This Row],[Spend]],0)</f>
        <v>1.5170176135611178</v>
      </c>
      <c r="T109" s="4">
        <f>Table1[[#This Row],[Revenue]]-Table1[[#This Row],[Spend]]</f>
        <v>3904</v>
      </c>
      <c r="U109" s="4" t="str">
        <f>TEXT(Table1[[#This Row],[Date]],"MMM")</f>
        <v>Feb</v>
      </c>
      <c r="V109" s="4" t="str">
        <f>IF(Table1[[#This Row],[ROI (%)]]&gt;0,"Profitable","Loss-Making")</f>
        <v>Profitable</v>
      </c>
    </row>
    <row r="110" spans="1:22" x14ac:dyDescent="0.35">
      <c r="A110" s="1" t="s">
        <v>157</v>
      </c>
      <c r="B110" t="s">
        <v>11</v>
      </c>
      <c r="C110" t="s">
        <v>289</v>
      </c>
      <c r="D110" s="2">
        <v>5617</v>
      </c>
      <c r="E110">
        <v>60189</v>
      </c>
      <c r="F110">
        <v>4442</v>
      </c>
      <c r="G110">
        <v>823</v>
      </c>
      <c r="H110">
        <v>180</v>
      </c>
      <c r="I110" s="2">
        <v>37440</v>
      </c>
      <c r="J110" t="s">
        <v>290</v>
      </c>
      <c r="K110" s="3">
        <f>IFERROR(Table1[[#This Row],[Clicks]]/Table1[[#This Row],[Impressions]],0)</f>
        <v>7.3800860622372857E-2</v>
      </c>
      <c r="L110" s="3">
        <f>IFERROR(Table1[[#This Row],[Leads]]/Table1[[#This Row],[Clicks]],0)</f>
        <v>0.18527690229626295</v>
      </c>
      <c r="M110" s="3">
        <f>IFERROR(Table1[[#This Row],[Conversions]]/Table1[[#This Row],[Leads]],0)</f>
        <v>0.2187120291616039</v>
      </c>
      <c r="N110" s="3">
        <f>IFERROR(Table1[[#This Row],[Conversions]]/Table1[[#This Row],[Impressions]],0)</f>
        <v>2.9905796740268154E-3</v>
      </c>
      <c r="O110" s="4">
        <f>IFERROR(Table1[[#This Row],[Spend]]/Table1[[#This Row],[Leads]],0)</f>
        <v>6.8250303766707168</v>
      </c>
      <c r="P110" s="4">
        <f>IFERROR(Table1[[#This Row],[Spend]]/Table1[[#This Row],[Conversions]],0)</f>
        <v>31.205555555555556</v>
      </c>
      <c r="Q110" s="4">
        <f>IFERROR(Table1[[#This Row],[Revenue]]/Table1[[#This Row],[Conversions]],0)</f>
        <v>208</v>
      </c>
      <c r="R110" s="3">
        <f>IFERROR((Table1[[#This Row],[Revenue]]-Table1[[#This Row],[Spend]])/Table1[[#This Row],[Spend]],0)</f>
        <v>5.6654797934840664</v>
      </c>
      <c r="S110" s="6">
        <f>IFERROR(Table1[[#This Row],[Revenue]]/Table1[[#This Row],[Spend]],0)</f>
        <v>6.6654797934840664</v>
      </c>
      <c r="T110" s="4">
        <f>Table1[[#This Row],[Revenue]]-Table1[[#This Row],[Spend]]</f>
        <v>31823</v>
      </c>
      <c r="U110" s="4" t="str">
        <f>TEXT(Table1[[#This Row],[Date]],"MMM")</f>
        <v>Feb</v>
      </c>
      <c r="V110" s="4" t="str">
        <f>IF(Table1[[#This Row],[ROI (%)]]&gt;0,"Profitable","Loss-Making")</f>
        <v>Profitable</v>
      </c>
    </row>
    <row r="111" spans="1:22" x14ac:dyDescent="0.35">
      <c r="A111" s="1" t="s">
        <v>160</v>
      </c>
      <c r="B111" t="s">
        <v>11</v>
      </c>
      <c r="C111" t="s">
        <v>291</v>
      </c>
      <c r="D111" s="2">
        <v>6768</v>
      </c>
      <c r="E111">
        <v>54116</v>
      </c>
      <c r="F111">
        <v>3290</v>
      </c>
      <c r="G111">
        <v>963</v>
      </c>
      <c r="H111">
        <v>280</v>
      </c>
      <c r="I111" s="2">
        <v>64680</v>
      </c>
      <c r="J111" t="s">
        <v>292</v>
      </c>
      <c r="K111" s="3">
        <f>IFERROR(Table1[[#This Row],[Clicks]]/Table1[[#This Row],[Impressions]],0)</f>
        <v>6.0795328553477718E-2</v>
      </c>
      <c r="L111" s="3">
        <f>IFERROR(Table1[[#This Row],[Leads]]/Table1[[#This Row],[Clicks]],0)</f>
        <v>0.29270516717325229</v>
      </c>
      <c r="M111" s="3">
        <f>IFERROR(Table1[[#This Row],[Conversions]]/Table1[[#This Row],[Leads]],0)</f>
        <v>0.29075804776739356</v>
      </c>
      <c r="N111" s="3">
        <f>IFERROR(Table1[[#This Row],[Conversions]]/Table1[[#This Row],[Impressions]],0)</f>
        <v>5.1740705151895926E-3</v>
      </c>
      <c r="O111" s="4">
        <f>IFERROR(Table1[[#This Row],[Spend]]/Table1[[#This Row],[Leads]],0)</f>
        <v>7.02803738317757</v>
      </c>
      <c r="P111" s="4">
        <f>IFERROR(Table1[[#This Row],[Spend]]/Table1[[#This Row],[Conversions]],0)</f>
        <v>24.171428571428571</v>
      </c>
      <c r="Q111" s="4">
        <f>IFERROR(Table1[[#This Row],[Revenue]]/Table1[[#This Row],[Conversions]],0)</f>
        <v>231</v>
      </c>
      <c r="R111" s="3">
        <f>IFERROR((Table1[[#This Row],[Revenue]]-Table1[[#This Row],[Spend]])/Table1[[#This Row],[Spend]],0)</f>
        <v>8.5567375886524815</v>
      </c>
      <c r="S111" s="6">
        <f>IFERROR(Table1[[#This Row],[Revenue]]/Table1[[#This Row],[Spend]],0)</f>
        <v>9.5567375886524815</v>
      </c>
      <c r="T111" s="4">
        <f>Table1[[#This Row],[Revenue]]-Table1[[#This Row],[Spend]]</f>
        <v>57912</v>
      </c>
      <c r="U111" s="4" t="str">
        <f>TEXT(Table1[[#This Row],[Date]],"MMM")</f>
        <v>Feb</v>
      </c>
      <c r="V111" s="4" t="str">
        <f>IF(Table1[[#This Row],[ROI (%)]]&gt;0,"Profitable","Loss-Making")</f>
        <v>Profitable</v>
      </c>
    </row>
    <row r="112" spans="1:22" x14ac:dyDescent="0.35">
      <c r="A112" s="1" t="s">
        <v>163</v>
      </c>
      <c r="B112" t="s">
        <v>11</v>
      </c>
      <c r="C112" t="s">
        <v>293</v>
      </c>
      <c r="D112" s="2">
        <v>6691</v>
      </c>
      <c r="E112">
        <v>41099</v>
      </c>
      <c r="F112">
        <v>4866</v>
      </c>
      <c r="G112">
        <v>727</v>
      </c>
      <c r="H112">
        <v>247</v>
      </c>
      <c r="I112" s="2">
        <v>60762</v>
      </c>
      <c r="J112" t="s">
        <v>294</v>
      </c>
      <c r="K112" s="3">
        <f>IFERROR(Table1[[#This Row],[Clicks]]/Table1[[#This Row],[Impressions]],0)</f>
        <v>0.11839704129054235</v>
      </c>
      <c r="L112" s="3">
        <f>IFERROR(Table1[[#This Row],[Leads]]/Table1[[#This Row],[Clicks]],0)</f>
        <v>0.14940402794903412</v>
      </c>
      <c r="M112" s="3">
        <f>IFERROR(Table1[[#This Row],[Conversions]]/Table1[[#This Row],[Leads]],0)</f>
        <v>0.33975240715268223</v>
      </c>
      <c r="N112" s="3">
        <f>IFERROR(Table1[[#This Row],[Conversions]]/Table1[[#This Row],[Impressions]],0)</f>
        <v>6.00987858585367E-3</v>
      </c>
      <c r="O112" s="4">
        <f>IFERROR(Table1[[#This Row],[Spend]]/Table1[[#This Row],[Leads]],0)</f>
        <v>9.2035763411279223</v>
      </c>
      <c r="P112" s="4">
        <f>IFERROR(Table1[[#This Row],[Spend]]/Table1[[#This Row],[Conversions]],0)</f>
        <v>27.089068825910932</v>
      </c>
      <c r="Q112" s="4">
        <f>IFERROR(Table1[[#This Row],[Revenue]]/Table1[[#This Row],[Conversions]],0)</f>
        <v>246</v>
      </c>
      <c r="R112" s="3">
        <f>IFERROR((Table1[[#This Row],[Revenue]]-Table1[[#This Row],[Spend]])/Table1[[#This Row],[Spend]],0)</f>
        <v>8.0811537886713491</v>
      </c>
      <c r="S112" s="6">
        <f>IFERROR(Table1[[#This Row],[Revenue]]/Table1[[#This Row],[Spend]],0)</f>
        <v>9.0811537886713491</v>
      </c>
      <c r="T112" s="4">
        <f>Table1[[#This Row],[Revenue]]-Table1[[#This Row],[Spend]]</f>
        <v>54071</v>
      </c>
      <c r="U112" s="4" t="str">
        <f>TEXT(Table1[[#This Row],[Date]],"MMM")</f>
        <v>Feb</v>
      </c>
      <c r="V112" s="4" t="str">
        <f>IF(Table1[[#This Row],[ROI (%)]]&gt;0,"Profitable","Loss-Making")</f>
        <v>Profitable</v>
      </c>
    </row>
    <row r="113" spans="1:22" x14ac:dyDescent="0.35">
      <c r="A113" s="1" t="s">
        <v>166</v>
      </c>
      <c r="B113" t="s">
        <v>28</v>
      </c>
      <c r="C113" t="s">
        <v>295</v>
      </c>
      <c r="D113" s="2">
        <v>8286</v>
      </c>
      <c r="E113">
        <v>91018</v>
      </c>
      <c r="F113">
        <v>4509</v>
      </c>
      <c r="G113">
        <v>1365</v>
      </c>
      <c r="H113">
        <v>53</v>
      </c>
      <c r="I113" s="2">
        <v>7738</v>
      </c>
      <c r="J113" t="s">
        <v>296</v>
      </c>
      <c r="K113" s="3">
        <f>IFERROR(Table1[[#This Row],[Clicks]]/Table1[[#This Row],[Impressions]],0)</f>
        <v>4.9539651497505985E-2</v>
      </c>
      <c r="L113" s="3">
        <f>IFERROR(Table1[[#This Row],[Leads]]/Table1[[#This Row],[Clicks]],0)</f>
        <v>0.30272787757817698</v>
      </c>
      <c r="M113" s="3">
        <f>IFERROR(Table1[[#This Row],[Conversions]]/Table1[[#This Row],[Leads]],0)</f>
        <v>3.8827838827838829E-2</v>
      </c>
      <c r="N113" s="3">
        <f>IFERROR(Table1[[#This Row],[Conversions]]/Table1[[#This Row],[Impressions]],0)</f>
        <v>5.8230240172273617E-4</v>
      </c>
      <c r="O113" s="4">
        <f>IFERROR(Table1[[#This Row],[Spend]]/Table1[[#This Row],[Leads]],0)</f>
        <v>6.0703296703296701</v>
      </c>
      <c r="P113" s="4">
        <f>IFERROR(Table1[[#This Row],[Spend]]/Table1[[#This Row],[Conversions]],0)</f>
        <v>156.33962264150944</v>
      </c>
      <c r="Q113" s="4">
        <f>IFERROR(Table1[[#This Row],[Revenue]]/Table1[[#This Row],[Conversions]],0)</f>
        <v>146</v>
      </c>
      <c r="R113" s="3">
        <f>IFERROR((Table1[[#This Row],[Revenue]]-Table1[[#This Row],[Spend]])/Table1[[#This Row],[Spend]],0)</f>
        <v>-6.613565049481053E-2</v>
      </c>
      <c r="S113" s="6">
        <f>IFERROR(Table1[[#This Row],[Revenue]]/Table1[[#This Row],[Spend]],0)</f>
        <v>0.93386434950518948</v>
      </c>
      <c r="T113" s="4">
        <f>Table1[[#This Row],[Revenue]]-Table1[[#This Row],[Spend]]</f>
        <v>-548</v>
      </c>
      <c r="U113" s="4" t="str">
        <f>TEXT(Table1[[#This Row],[Date]],"MMM")</f>
        <v>Feb</v>
      </c>
      <c r="V113" s="4" t="str">
        <f>IF(Table1[[#This Row],[ROI (%)]]&gt;0,"Profitable","Loss-Making")</f>
        <v>Loss-Making</v>
      </c>
    </row>
    <row r="114" spans="1:22" x14ac:dyDescent="0.35">
      <c r="A114" s="1" t="s">
        <v>169</v>
      </c>
      <c r="B114" t="s">
        <v>11</v>
      </c>
      <c r="C114" t="s">
        <v>297</v>
      </c>
      <c r="D114" s="2">
        <v>5286</v>
      </c>
      <c r="E114">
        <v>49392</v>
      </c>
      <c r="F114">
        <v>4975</v>
      </c>
      <c r="G114">
        <v>979</v>
      </c>
      <c r="H114">
        <v>252</v>
      </c>
      <c r="I114" s="2">
        <v>58716</v>
      </c>
      <c r="J114" t="s">
        <v>298</v>
      </c>
      <c r="K114" s="3">
        <f>IFERROR(Table1[[#This Row],[Clicks]]/Table1[[#This Row],[Impressions]],0)</f>
        <v>0.10072481373501782</v>
      </c>
      <c r="L114" s="3">
        <f>IFERROR(Table1[[#This Row],[Leads]]/Table1[[#This Row],[Clicks]],0)</f>
        <v>0.19678391959798994</v>
      </c>
      <c r="M114" s="3">
        <f>IFERROR(Table1[[#This Row],[Conversions]]/Table1[[#This Row],[Leads]],0)</f>
        <v>0.25740551583248211</v>
      </c>
      <c r="N114" s="3">
        <f>IFERROR(Table1[[#This Row],[Conversions]]/Table1[[#This Row],[Impressions]],0)</f>
        <v>5.1020408163265302E-3</v>
      </c>
      <c r="O114" s="4">
        <f>IFERROR(Table1[[#This Row],[Spend]]/Table1[[#This Row],[Leads]],0)</f>
        <v>5.3993871297242082</v>
      </c>
      <c r="P114" s="4">
        <f>IFERROR(Table1[[#This Row],[Spend]]/Table1[[#This Row],[Conversions]],0)</f>
        <v>20.976190476190474</v>
      </c>
      <c r="Q114" s="4">
        <f>IFERROR(Table1[[#This Row],[Revenue]]/Table1[[#This Row],[Conversions]],0)</f>
        <v>233</v>
      </c>
      <c r="R114" s="3">
        <f>IFERROR((Table1[[#This Row],[Revenue]]-Table1[[#This Row],[Spend]])/Table1[[#This Row],[Spend]],0)</f>
        <v>10.107832009080591</v>
      </c>
      <c r="S114" s="6">
        <f>IFERROR(Table1[[#This Row],[Revenue]]/Table1[[#This Row],[Spend]],0)</f>
        <v>11.107832009080591</v>
      </c>
      <c r="T114" s="4">
        <f>Table1[[#This Row],[Revenue]]-Table1[[#This Row],[Spend]]</f>
        <v>53430</v>
      </c>
      <c r="U114" s="4" t="str">
        <f>TEXT(Table1[[#This Row],[Date]],"MMM")</f>
        <v>Feb</v>
      </c>
      <c r="V114" s="4" t="str">
        <f>IF(Table1[[#This Row],[ROI (%)]]&gt;0,"Profitable","Loss-Making")</f>
        <v>Profitable</v>
      </c>
    </row>
    <row r="115" spans="1:22" x14ac:dyDescent="0.35">
      <c r="A115" s="1" t="s">
        <v>172</v>
      </c>
      <c r="B115" t="s">
        <v>28</v>
      </c>
      <c r="C115" t="s">
        <v>299</v>
      </c>
      <c r="D115" s="2">
        <v>8370</v>
      </c>
      <c r="E115">
        <v>75963</v>
      </c>
      <c r="F115">
        <v>4657</v>
      </c>
      <c r="G115">
        <v>1387</v>
      </c>
      <c r="H115">
        <v>57</v>
      </c>
      <c r="I115" s="2">
        <v>9918</v>
      </c>
      <c r="J115" t="s">
        <v>300</v>
      </c>
      <c r="K115" s="3">
        <f>IFERROR(Table1[[#This Row],[Clicks]]/Table1[[#This Row],[Impressions]],0)</f>
        <v>6.1306162210549874E-2</v>
      </c>
      <c r="L115" s="3">
        <f>IFERROR(Table1[[#This Row],[Leads]]/Table1[[#This Row],[Clicks]],0)</f>
        <v>0.29783122181662014</v>
      </c>
      <c r="M115" s="3">
        <f>IFERROR(Table1[[#This Row],[Conversions]]/Table1[[#This Row],[Leads]],0)</f>
        <v>4.1095890410958902E-2</v>
      </c>
      <c r="N115" s="3">
        <f>IFERROR(Table1[[#This Row],[Conversions]]/Table1[[#This Row],[Impressions]],0)</f>
        <v>7.5036530942695781E-4</v>
      </c>
      <c r="O115" s="4">
        <f>IFERROR(Table1[[#This Row],[Spend]]/Table1[[#This Row],[Leads]],0)</f>
        <v>6.0346070656092285</v>
      </c>
      <c r="P115" s="4">
        <f>IFERROR(Table1[[#This Row],[Spend]]/Table1[[#This Row],[Conversions]],0)</f>
        <v>146.84210526315789</v>
      </c>
      <c r="Q115" s="4">
        <f>IFERROR(Table1[[#This Row],[Revenue]]/Table1[[#This Row],[Conversions]],0)</f>
        <v>174</v>
      </c>
      <c r="R115" s="3">
        <f>IFERROR((Table1[[#This Row],[Revenue]]-Table1[[#This Row],[Spend]])/Table1[[#This Row],[Spend]],0)</f>
        <v>0.18494623655913978</v>
      </c>
      <c r="S115" s="6">
        <f>IFERROR(Table1[[#This Row],[Revenue]]/Table1[[#This Row],[Spend]],0)</f>
        <v>1.1849462365591399</v>
      </c>
      <c r="T115" s="4">
        <f>Table1[[#This Row],[Revenue]]-Table1[[#This Row],[Spend]]</f>
        <v>1548</v>
      </c>
      <c r="U115" s="4" t="str">
        <f>TEXT(Table1[[#This Row],[Date]],"MMM")</f>
        <v>Feb</v>
      </c>
      <c r="V115" s="4" t="str">
        <f>IF(Table1[[#This Row],[ROI (%)]]&gt;0,"Profitable","Loss-Making")</f>
        <v>Profitable</v>
      </c>
    </row>
    <row r="116" spans="1:22" x14ac:dyDescent="0.35">
      <c r="A116" s="1" t="s">
        <v>175</v>
      </c>
      <c r="B116" t="s">
        <v>11</v>
      </c>
      <c r="C116" t="s">
        <v>301</v>
      </c>
      <c r="D116" s="2">
        <v>5512</v>
      </c>
      <c r="E116">
        <v>51039</v>
      </c>
      <c r="F116">
        <v>3719</v>
      </c>
      <c r="G116">
        <v>791</v>
      </c>
      <c r="H116">
        <v>297</v>
      </c>
      <c r="I116" s="2">
        <v>55836</v>
      </c>
      <c r="J116" t="s">
        <v>302</v>
      </c>
      <c r="K116" s="3">
        <f>IFERROR(Table1[[#This Row],[Clicks]]/Table1[[#This Row],[Impressions]],0)</f>
        <v>7.2865847685103555E-2</v>
      </c>
      <c r="L116" s="3">
        <f>IFERROR(Table1[[#This Row],[Leads]]/Table1[[#This Row],[Clicks]],0)</f>
        <v>0.21269158375907501</v>
      </c>
      <c r="M116" s="3">
        <f>IFERROR(Table1[[#This Row],[Conversions]]/Table1[[#This Row],[Leads]],0)</f>
        <v>0.37547408343868521</v>
      </c>
      <c r="N116" s="3">
        <f>IFERROR(Table1[[#This Row],[Conversions]]/Table1[[#This Row],[Impressions]],0)</f>
        <v>5.8190795274202078E-3</v>
      </c>
      <c r="O116" s="4">
        <f>IFERROR(Table1[[#This Row],[Spend]]/Table1[[#This Row],[Leads]],0)</f>
        <v>6.9683944374209865</v>
      </c>
      <c r="P116" s="4">
        <f>IFERROR(Table1[[#This Row],[Spend]]/Table1[[#This Row],[Conversions]],0)</f>
        <v>18.558922558922561</v>
      </c>
      <c r="Q116" s="4">
        <f>IFERROR(Table1[[#This Row],[Revenue]]/Table1[[#This Row],[Conversions]],0)</f>
        <v>188</v>
      </c>
      <c r="R116" s="3">
        <f>IFERROR((Table1[[#This Row],[Revenue]]-Table1[[#This Row],[Spend]])/Table1[[#This Row],[Spend]],0)</f>
        <v>9.1298984034833097</v>
      </c>
      <c r="S116" s="6">
        <f>IFERROR(Table1[[#This Row],[Revenue]]/Table1[[#This Row],[Spend]],0)</f>
        <v>10.12989840348331</v>
      </c>
      <c r="T116" s="4">
        <f>Table1[[#This Row],[Revenue]]-Table1[[#This Row],[Spend]]</f>
        <v>50324</v>
      </c>
      <c r="U116" s="4" t="str">
        <f>TEXT(Table1[[#This Row],[Date]],"MMM")</f>
        <v>Feb</v>
      </c>
      <c r="V116" s="4" t="str">
        <f>IF(Table1[[#This Row],[ROI (%)]]&gt;0,"Profitable","Loss-Making")</f>
        <v>Profitable</v>
      </c>
    </row>
    <row r="117" spans="1:22" x14ac:dyDescent="0.35">
      <c r="A117" s="1" t="s">
        <v>178</v>
      </c>
      <c r="B117" t="s">
        <v>15</v>
      </c>
      <c r="C117" t="s">
        <v>303</v>
      </c>
      <c r="D117" s="2">
        <v>9129</v>
      </c>
      <c r="E117">
        <v>29247</v>
      </c>
      <c r="F117">
        <v>1721</v>
      </c>
      <c r="G117">
        <v>418</v>
      </c>
      <c r="H117">
        <v>35</v>
      </c>
      <c r="I117" s="2">
        <v>5390</v>
      </c>
      <c r="J117" t="s">
        <v>304</v>
      </c>
      <c r="K117" s="3">
        <f>IFERROR(Table1[[#This Row],[Clicks]]/Table1[[#This Row],[Impressions]],0)</f>
        <v>5.8843642082948677E-2</v>
      </c>
      <c r="L117" s="3">
        <f>IFERROR(Table1[[#This Row],[Leads]]/Table1[[#This Row],[Clicks]],0)</f>
        <v>0.24288204532248692</v>
      </c>
      <c r="M117" s="3">
        <f>IFERROR(Table1[[#This Row],[Conversions]]/Table1[[#This Row],[Leads]],0)</f>
        <v>8.3732057416267949E-2</v>
      </c>
      <c r="N117" s="3">
        <f>IFERROR(Table1[[#This Row],[Conversions]]/Table1[[#This Row],[Impressions]],0)</f>
        <v>1.1967039354463707E-3</v>
      </c>
      <c r="O117" s="4">
        <f>IFERROR(Table1[[#This Row],[Spend]]/Table1[[#This Row],[Leads]],0)</f>
        <v>21.839712918660286</v>
      </c>
      <c r="P117" s="4">
        <f>IFERROR(Table1[[#This Row],[Spend]]/Table1[[#This Row],[Conversions]],0)</f>
        <v>260.82857142857142</v>
      </c>
      <c r="Q117" s="4">
        <f>IFERROR(Table1[[#This Row],[Revenue]]/Table1[[#This Row],[Conversions]],0)</f>
        <v>154</v>
      </c>
      <c r="R117" s="3">
        <f>IFERROR((Table1[[#This Row],[Revenue]]-Table1[[#This Row],[Spend]])/Table1[[#This Row],[Spend]],0)</f>
        <v>-0.40957388542008982</v>
      </c>
      <c r="S117" s="6">
        <f>IFERROR(Table1[[#This Row],[Revenue]]/Table1[[#This Row],[Spend]],0)</f>
        <v>0.59042611457991012</v>
      </c>
      <c r="T117" s="4">
        <f>Table1[[#This Row],[Revenue]]-Table1[[#This Row],[Spend]]</f>
        <v>-3739</v>
      </c>
      <c r="U117" s="4" t="str">
        <f>TEXT(Table1[[#This Row],[Date]],"MMM")</f>
        <v>Feb</v>
      </c>
      <c r="V117" s="4" t="str">
        <f>IF(Table1[[#This Row],[ROI (%)]]&gt;0,"Profitable","Loss-Making")</f>
        <v>Loss-Making</v>
      </c>
    </row>
    <row r="118" spans="1:22" x14ac:dyDescent="0.35">
      <c r="A118" s="1" t="s">
        <v>181</v>
      </c>
      <c r="B118" t="s">
        <v>28</v>
      </c>
      <c r="C118" t="s">
        <v>305</v>
      </c>
      <c r="D118" s="2">
        <v>7380</v>
      </c>
      <c r="E118">
        <v>70581</v>
      </c>
      <c r="F118">
        <v>5337</v>
      </c>
      <c r="G118">
        <v>1065</v>
      </c>
      <c r="H118">
        <v>46</v>
      </c>
      <c r="I118" s="2">
        <v>5842</v>
      </c>
      <c r="J118" t="s">
        <v>306</v>
      </c>
      <c r="K118" s="3">
        <f>IFERROR(Table1[[#This Row],[Clicks]]/Table1[[#This Row],[Impressions]],0)</f>
        <v>7.5615250563182732E-2</v>
      </c>
      <c r="L118" s="3">
        <f>IFERROR(Table1[[#This Row],[Leads]]/Table1[[#This Row],[Clicks]],0)</f>
        <v>0.19955030916245081</v>
      </c>
      <c r="M118" s="3">
        <f>IFERROR(Table1[[#This Row],[Conversions]]/Table1[[#This Row],[Leads]],0)</f>
        <v>4.3192488262910798E-2</v>
      </c>
      <c r="N118" s="3">
        <f>IFERROR(Table1[[#This Row],[Conversions]]/Table1[[#This Row],[Impressions]],0)</f>
        <v>6.5173346934727474E-4</v>
      </c>
      <c r="O118" s="4">
        <f>IFERROR(Table1[[#This Row],[Spend]]/Table1[[#This Row],[Leads]],0)</f>
        <v>6.929577464788732</v>
      </c>
      <c r="P118" s="4">
        <f>IFERROR(Table1[[#This Row],[Spend]]/Table1[[#This Row],[Conversions]],0)</f>
        <v>160.43478260869566</v>
      </c>
      <c r="Q118" s="4">
        <f>IFERROR(Table1[[#This Row],[Revenue]]/Table1[[#This Row],[Conversions]],0)</f>
        <v>127</v>
      </c>
      <c r="R118" s="3">
        <f>IFERROR((Table1[[#This Row],[Revenue]]-Table1[[#This Row],[Spend]])/Table1[[#This Row],[Spend]],0)</f>
        <v>-0.20840108401084012</v>
      </c>
      <c r="S118" s="6">
        <f>IFERROR(Table1[[#This Row],[Revenue]]/Table1[[#This Row],[Spend]],0)</f>
        <v>0.79159891598915988</v>
      </c>
      <c r="T118" s="4">
        <f>Table1[[#This Row],[Revenue]]-Table1[[#This Row],[Spend]]</f>
        <v>-1538</v>
      </c>
      <c r="U118" s="4" t="str">
        <f>TEXT(Table1[[#This Row],[Date]],"MMM")</f>
        <v>Feb</v>
      </c>
      <c r="V118" s="4" t="str">
        <f>IF(Table1[[#This Row],[ROI (%)]]&gt;0,"Profitable","Loss-Making")</f>
        <v>Loss-Making</v>
      </c>
    </row>
    <row r="119" spans="1:22" x14ac:dyDescent="0.35">
      <c r="A119" s="1" t="s">
        <v>184</v>
      </c>
      <c r="B119" t="s">
        <v>11</v>
      </c>
      <c r="C119" t="s">
        <v>307</v>
      </c>
      <c r="D119" s="2">
        <v>4929</v>
      </c>
      <c r="E119">
        <v>65608</v>
      </c>
      <c r="F119">
        <v>3267</v>
      </c>
      <c r="G119">
        <v>898</v>
      </c>
      <c r="H119">
        <v>245</v>
      </c>
      <c r="I119" s="2">
        <v>48510</v>
      </c>
      <c r="J119" t="s">
        <v>308</v>
      </c>
      <c r="K119" s="3">
        <f>IFERROR(Table1[[#This Row],[Clicks]]/Table1[[#This Row],[Impressions]],0)</f>
        <v>4.9795756615046947E-2</v>
      </c>
      <c r="L119" s="3">
        <f>IFERROR(Table1[[#This Row],[Leads]]/Table1[[#This Row],[Clicks]],0)</f>
        <v>0.27486991123354759</v>
      </c>
      <c r="M119" s="3">
        <f>IFERROR(Table1[[#This Row],[Conversions]]/Table1[[#This Row],[Leads]],0)</f>
        <v>0.27282850779510021</v>
      </c>
      <c r="N119" s="3">
        <f>IFERROR(Table1[[#This Row],[Conversions]]/Table1[[#This Row],[Impressions]],0)</f>
        <v>3.7343006950371904E-3</v>
      </c>
      <c r="O119" s="4">
        <f>IFERROR(Table1[[#This Row],[Spend]]/Table1[[#This Row],[Leads]],0)</f>
        <v>5.4888641425389757</v>
      </c>
      <c r="P119" s="4">
        <f>IFERROR(Table1[[#This Row],[Spend]]/Table1[[#This Row],[Conversions]],0)</f>
        <v>20.118367346938776</v>
      </c>
      <c r="Q119" s="4">
        <f>IFERROR(Table1[[#This Row],[Revenue]]/Table1[[#This Row],[Conversions]],0)</f>
        <v>198</v>
      </c>
      <c r="R119" s="3">
        <f>IFERROR((Table1[[#This Row],[Revenue]]-Table1[[#This Row],[Spend]])/Table1[[#This Row],[Spend]],0)</f>
        <v>8.8417528910529519</v>
      </c>
      <c r="S119" s="6">
        <f>IFERROR(Table1[[#This Row],[Revenue]]/Table1[[#This Row],[Spend]],0)</f>
        <v>9.8417528910529519</v>
      </c>
      <c r="T119" s="4">
        <f>Table1[[#This Row],[Revenue]]-Table1[[#This Row],[Spend]]</f>
        <v>43581</v>
      </c>
      <c r="U119" s="4" t="str">
        <f>TEXT(Table1[[#This Row],[Date]],"MMM")</f>
        <v>Feb</v>
      </c>
      <c r="V119" s="4" t="str">
        <f>IF(Table1[[#This Row],[ROI (%)]]&gt;0,"Profitable","Loss-Making")</f>
        <v>Profitable</v>
      </c>
    </row>
    <row r="120" spans="1:22" x14ac:dyDescent="0.35">
      <c r="A120" s="1" t="s">
        <v>187</v>
      </c>
      <c r="B120" t="s">
        <v>28</v>
      </c>
      <c r="C120" t="s">
        <v>309</v>
      </c>
      <c r="D120" s="2">
        <v>8709</v>
      </c>
      <c r="E120">
        <v>81420</v>
      </c>
      <c r="F120">
        <v>5258</v>
      </c>
      <c r="G120">
        <v>1142</v>
      </c>
      <c r="H120">
        <v>80</v>
      </c>
      <c r="I120" s="2">
        <v>13520</v>
      </c>
      <c r="J120" t="s">
        <v>310</v>
      </c>
      <c r="K120" s="3">
        <f>IFERROR(Table1[[#This Row],[Clicks]]/Table1[[#This Row],[Impressions]],0)</f>
        <v>6.457872758535986E-2</v>
      </c>
      <c r="L120" s="3">
        <f>IFERROR(Table1[[#This Row],[Leads]]/Table1[[#This Row],[Clicks]],0)</f>
        <v>0.21719284899201216</v>
      </c>
      <c r="M120" s="3">
        <f>IFERROR(Table1[[#This Row],[Conversions]]/Table1[[#This Row],[Leads]],0)</f>
        <v>7.0052539404553416E-2</v>
      </c>
      <c r="N120" s="3">
        <f>IFERROR(Table1[[#This Row],[Conversions]]/Table1[[#This Row],[Impressions]],0)</f>
        <v>9.8255956767379017E-4</v>
      </c>
      <c r="O120" s="4">
        <f>IFERROR(Table1[[#This Row],[Spend]]/Table1[[#This Row],[Leads]],0)</f>
        <v>7.6260945709281964</v>
      </c>
      <c r="P120" s="4">
        <f>IFERROR(Table1[[#This Row],[Spend]]/Table1[[#This Row],[Conversions]],0)</f>
        <v>108.8625</v>
      </c>
      <c r="Q120" s="4">
        <f>IFERROR(Table1[[#This Row],[Revenue]]/Table1[[#This Row],[Conversions]],0)</f>
        <v>169</v>
      </c>
      <c r="R120" s="3">
        <f>IFERROR((Table1[[#This Row],[Revenue]]-Table1[[#This Row],[Spend]])/Table1[[#This Row],[Spend]],0)</f>
        <v>0.55241703984383972</v>
      </c>
      <c r="S120" s="6">
        <f>IFERROR(Table1[[#This Row],[Revenue]]/Table1[[#This Row],[Spend]],0)</f>
        <v>1.5524170398438397</v>
      </c>
      <c r="T120" s="4">
        <f>Table1[[#This Row],[Revenue]]-Table1[[#This Row],[Spend]]</f>
        <v>4811</v>
      </c>
      <c r="U120" s="4" t="str">
        <f>TEXT(Table1[[#This Row],[Date]],"MMM")</f>
        <v>Feb</v>
      </c>
      <c r="V120" s="4" t="str">
        <f>IF(Table1[[#This Row],[ROI (%)]]&gt;0,"Profitable","Loss-Making")</f>
        <v>Profitable</v>
      </c>
    </row>
    <row r="121" spans="1:22" x14ac:dyDescent="0.35">
      <c r="A121" s="1" t="s">
        <v>190</v>
      </c>
      <c r="B121" t="s">
        <v>15</v>
      </c>
      <c r="C121" t="s">
        <v>311</v>
      </c>
      <c r="D121" s="2">
        <v>13962</v>
      </c>
      <c r="E121">
        <v>38783</v>
      </c>
      <c r="F121">
        <v>2845</v>
      </c>
      <c r="G121">
        <v>384</v>
      </c>
      <c r="H121">
        <v>39</v>
      </c>
      <c r="I121" s="2">
        <v>7527</v>
      </c>
      <c r="J121" t="s">
        <v>312</v>
      </c>
      <c r="K121" s="3">
        <f>IFERROR(Table1[[#This Row],[Clicks]]/Table1[[#This Row],[Impressions]],0)</f>
        <v>7.3356883170461282E-2</v>
      </c>
      <c r="L121" s="3">
        <f>IFERROR(Table1[[#This Row],[Leads]]/Table1[[#This Row],[Clicks]],0)</f>
        <v>0.13497363796133569</v>
      </c>
      <c r="M121" s="3">
        <f>IFERROR(Table1[[#This Row],[Conversions]]/Table1[[#This Row],[Leads]],0)</f>
        <v>0.1015625</v>
      </c>
      <c r="N121" s="3">
        <f>IFERROR(Table1[[#This Row],[Conversions]]/Table1[[#This Row],[Impressions]],0)</f>
        <v>1.0055952350256556E-3</v>
      </c>
      <c r="O121" s="4">
        <f>IFERROR(Table1[[#This Row],[Spend]]/Table1[[#This Row],[Leads]],0)</f>
        <v>36.359375</v>
      </c>
      <c r="P121" s="4">
        <f>IFERROR(Table1[[#This Row],[Spend]]/Table1[[#This Row],[Conversions]],0)</f>
        <v>358</v>
      </c>
      <c r="Q121" s="4">
        <f>IFERROR(Table1[[#This Row],[Revenue]]/Table1[[#This Row],[Conversions]],0)</f>
        <v>193</v>
      </c>
      <c r="R121" s="3">
        <f>IFERROR((Table1[[#This Row],[Revenue]]-Table1[[#This Row],[Spend]])/Table1[[#This Row],[Spend]],0)</f>
        <v>-0.46089385474860334</v>
      </c>
      <c r="S121" s="6">
        <f>IFERROR(Table1[[#This Row],[Revenue]]/Table1[[#This Row],[Spend]],0)</f>
        <v>0.53910614525139666</v>
      </c>
      <c r="T121" s="4">
        <f>Table1[[#This Row],[Revenue]]-Table1[[#This Row],[Spend]]</f>
        <v>-6435</v>
      </c>
      <c r="U121" s="4" t="str">
        <f>TEXT(Table1[[#This Row],[Date]],"MMM")</f>
        <v>Mar</v>
      </c>
      <c r="V121" s="4" t="str">
        <f>IF(Table1[[#This Row],[ROI (%)]]&gt;0,"Profitable","Loss-Making")</f>
        <v>Loss-Making</v>
      </c>
    </row>
    <row r="122" spans="1:22" x14ac:dyDescent="0.35">
      <c r="A122" s="1" t="s">
        <v>10</v>
      </c>
      <c r="B122" t="s">
        <v>11</v>
      </c>
      <c r="C122" t="s">
        <v>313</v>
      </c>
      <c r="D122" s="2">
        <v>4996</v>
      </c>
      <c r="E122">
        <v>63702</v>
      </c>
      <c r="F122">
        <v>3367</v>
      </c>
      <c r="G122">
        <v>995</v>
      </c>
      <c r="H122">
        <v>225</v>
      </c>
      <c r="I122" s="2">
        <v>46800</v>
      </c>
      <c r="J122" t="s">
        <v>314</v>
      </c>
      <c r="K122" s="3">
        <f>IFERROR(Table1[[#This Row],[Clicks]]/Table1[[#This Row],[Impressions]],0)</f>
        <v>5.2855483344321996E-2</v>
      </c>
      <c r="L122" s="3">
        <f>IFERROR(Table1[[#This Row],[Leads]]/Table1[[#This Row],[Clicks]],0)</f>
        <v>0.29551529551529554</v>
      </c>
      <c r="M122" s="3">
        <f>IFERROR(Table1[[#This Row],[Conversions]]/Table1[[#This Row],[Leads]],0)</f>
        <v>0.22613065326633167</v>
      </c>
      <c r="N122" s="3">
        <f>IFERROR(Table1[[#This Row],[Conversions]]/Table1[[#This Row],[Impressions]],0)</f>
        <v>3.5320712065555243E-3</v>
      </c>
      <c r="O122" s="4">
        <f>IFERROR(Table1[[#This Row],[Spend]]/Table1[[#This Row],[Leads]],0)</f>
        <v>5.0211055276381913</v>
      </c>
      <c r="P122" s="4">
        <f>IFERROR(Table1[[#This Row],[Spend]]/Table1[[#This Row],[Conversions]],0)</f>
        <v>22.204444444444444</v>
      </c>
      <c r="Q122" s="4">
        <f>IFERROR(Table1[[#This Row],[Revenue]]/Table1[[#This Row],[Conversions]],0)</f>
        <v>208</v>
      </c>
      <c r="R122" s="3">
        <f>IFERROR((Table1[[#This Row],[Revenue]]-Table1[[#This Row],[Spend]])/Table1[[#This Row],[Spend]],0)</f>
        <v>8.3674939951961562</v>
      </c>
      <c r="S122" s="6">
        <f>IFERROR(Table1[[#This Row],[Revenue]]/Table1[[#This Row],[Spend]],0)</f>
        <v>9.3674939951961562</v>
      </c>
      <c r="T122" s="4">
        <f>Table1[[#This Row],[Revenue]]-Table1[[#This Row],[Spend]]</f>
        <v>41804</v>
      </c>
      <c r="U122" s="4" t="str">
        <f>TEXT(Table1[[#This Row],[Date]],"MMM")</f>
        <v>Jan</v>
      </c>
      <c r="V122" s="4" t="str">
        <f>IF(Table1[[#This Row],[ROI (%)]]&gt;0,"Profitable","Loss-Making")</f>
        <v>Profitable</v>
      </c>
    </row>
    <row r="123" spans="1:22" x14ac:dyDescent="0.35">
      <c r="A123" s="1" t="s">
        <v>14</v>
      </c>
      <c r="B123" t="s">
        <v>15</v>
      </c>
      <c r="C123" t="s">
        <v>315</v>
      </c>
      <c r="D123" s="2">
        <v>12948</v>
      </c>
      <c r="E123">
        <v>36018</v>
      </c>
      <c r="F123">
        <v>1661</v>
      </c>
      <c r="G123">
        <v>260</v>
      </c>
      <c r="H123">
        <v>25</v>
      </c>
      <c r="I123" s="2">
        <v>4275</v>
      </c>
      <c r="J123" t="s">
        <v>316</v>
      </c>
      <c r="K123" s="3">
        <f>IFERROR(Table1[[#This Row],[Clicks]]/Table1[[#This Row],[Impressions]],0)</f>
        <v>4.6115830973402189E-2</v>
      </c>
      <c r="L123" s="3">
        <f>IFERROR(Table1[[#This Row],[Leads]]/Table1[[#This Row],[Clicks]],0)</f>
        <v>0.15653220951234195</v>
      </c>
      <c r="M123" s="3">
        <f>IFERROR(Table1[[#This Row],[Conversions]]/Table1[[#This Row],[Leads]],0)</f>
        <v>9.6153846153846159E-2</v>
      </c>
      <c r="N123" s="3">
        <f>IFERROR(Table1[[#This Row],[Conversions]]/Table1[[#This Row],[Impressions]],0)</f>
        <v>6.9409739574657111E-4</v>
      </c>
      <c r="O123" s="4">
        <f>IFERROR(Table1[[#This Row],[Spend]]/Table1[[#This Row],[Leads]],0)</f>
        <v>49.8</v>
      </c>
      <c r="P123" s="4">
        <f>IFERROR(Table1[[#This Row],[Spend]]/Table1[[#This Row],[Conversions]],0)</f>
        <v>517.91999999999996</v>
      </c>
      <c r="Q123" s="4">
        <f>IFERROR(Table1[[#This Row],[Revenue]]/Table1[[#This Row],[Conversions]],0)</f>
        <v>171</v>
      </c>
      <c r="R123" s="3">
        <f>IFERROR((Table1[[#This Row],[Revenue]]-Table1[[#This Row],[Spend]])/Table1[[#This Row],[Spend]],0)</f>
        <v>-0.66983317886932348</v>
      </c>
      <c r="S123" s="6">
        <f>IFERROR(Table1[[#This Row],[Revenue]]/Table1[[#This Row],[Spend]],0)</f>
        <v>0.33016682113067658</v>
      </c>
      <c r="T123" s="4">
        <f>Table1[[#This Row],[Revenue]]-Table1[[#This Row],[Spend]]</f>
        <v>-8673</v>
      </c>
      <c r="U123" s="4" t="str">
        <f>TEXT(Table1[[#This Row],[Date]],"MMM")</f>
        <v>Jan</v>
      </c>
      <c r="V123" s="4" t="str">
        <f>IF(Table1[[#This Row],[ROI (%)]]&gt;0,"Profitable","Loss-Making")</f>
        <v>Loss-Making</v>
      </c>
    </row>
    <row r="124" spans="1:22" x14ac:dyDescent="0.35">
      <c r="A124" s="1" t="s">
        <v>18</v>
      </c>
      <c r="B124" t="s">
        <v>28</v>
      </c>
      <c r="C124" t="s">
        <v>317</v>
      </c>
      <c r="D124" s="2">
        <v>7531</v>
      </c>
      <c r="E124">
        <v>73777</v>
      </c>
      <c r="F124">
        <v>5566</v>
      </c>
      <c r="G124">
        <v>1123</v>
      </c>
      <c r="H124">
        <v>65</v>
      </c>
      <c r="I124" s="2">
        <v>8190</v>
      </c>
      <c r="J124" t="s">
        <v>318</v>
      </c>
      <c r="K124" s="3">
        <f>IFERROR(Table1[[#This Row],[Clicks]]/Table1[[#This Row],[Impressions]],0)</f>
        <v>7.5443566423139999E-2</v>
      </c>
      <c r="L124" s="3">
        <f>IFERROR(Table1[[#This Row],[Leads]]/Table1[[#This Row],[Clicks]],0)</f>
        <v>0.2017606899029824</v>
      </c>
      <c r="M124" s="3">
        <f>IFERROR(Table1[[#This Row],[Conversions]]/Table1[[#This Row],[Leads]],0)</f>
        <v>5.7880676758682102E-2</v>
      </c>
      <c r="N124" s="3">
        <f>IFERROR(Table1[[#This Row],[Conversions]]/Table1[[#This Row],[Impressions]],0)</f>
        <v>8.8103338438808845E-4</v>
      </c>
      <c r="O124" s="4">
        <f>IFERROR(Table1[[#This Row],[Spend]]/Table1[[#This Row],[Leads]],0)</f>
        <v>6.7061442564559215</v>
      </c>
      <c r="P124" s="4">
        <f>IFERROR(Table1[[#This Row],[Spend]]/Table1[[#This Row],[Conversions]],0)</f>
        <v>115.86153846153846</v>
      </c>
      <c r="Q124" s="4">
        <f>IFERROR(Table1[[#This Row],[Revenue]]/Table1[[#This Row],[Conversions]],0)</f>
        <v>126</v>
      </c>
      <c r="R124" s="3">
        <f>IFERROR((Table1[[#This Row],[Revenue]]-Table1[[#This Row],[Spend]])/Table1[[#This Row],[Spend]],0)</f>
        <v>8.7504979418403933E-2</v>
      </c>
      <c r="S124" s="6">
        <f>IFERROR(Table1[[#This Row],[Revenue]]/Table1[[#This Row],[Spend]],0)</f>
        <v>1.087504979418404</v>
      </c>
      <c r="T124" s="4">
        <f>Table1[[#This Row],[Revenue]]-Table1[[#This Row],[Spend]]</f>
        <v>659</v>
      </c>
      <c r="U124" s="4" t="str">
        <f>TEXT(Table1[[#This Row],[Date]],"MMM")</f>
        <v>Jan</v>
      </c>
      <c r="V124" s="4" t="str">
        <f>IF(Table1[[#This Row],[ROI (%)]]&gt;0,"Profitable","Loss-Making")</f>
        <v>Profitable</v>
      </c>
    </row>
    <row r="125" spans="1:22" x14ac:dyDescent="0.35">
      <c r="A125" s="1" t="s">
        <v>21</v>
      </c>
      <c r="B125" t="s">
        <v>11</v>
      </c>
      <c r="C125" t="s">
        <v>319</v>
      </c>
      <c r="D125" s="2">
        <v>5153</v>
      </c>
      <c r="E125">
        <v>69336</v>
      </c>
      <c r="F125">
        <v>4309</v>
      </c>
      <c r="G125">
        <v>819</v>
      </c>
      <c r="H125">
        <v>268</v>
      </c>
      <c r="I125" s="2">
        <v>57888</v>
      </c>
      <c r="J125" t="s">
        <v>320</v>
      </c>
      <c r="K125" s="3">
        <f>IFERROR(Table1[[#This Row],[Clicks]]/Table1[[#This Row],[Impressions]],0)</f>
        <v>6.2146648205838234E-2</v>
      </c>
      <c r="L125" s="3">
        <f>IFERROR(Table1[[#This Row],[Leads]]/Table1[[#This Row],[Clicks]],0)</f>
        <v>0.19006730099791136</v>
      </c>
      <c r="M125" s="3">
        <f>IFERROR(Table1[[#This Row],[Conversions]]/Table1[[#This Row],[Leads]],0)</f>
        <v>0.32722832722832723</v>
      </c>
      <c r="N125" s="3">
        <f>IFERROR(Table1[[#This Row],[Conversions]]/Table1[[#This Row],[Impressions]],0)</f>
        <v>3.8652359524633667E-3</v>
      </c>
      <c r="O125" s="4">
        <f>IFERROR(Table1[[#This Row],[Spend]]/Table1[[#This Row],[Leads]],0)</f>
        <v>6.2918192918192917</v>
      </c>
      <c r="P125" s="4">
        <f>IFERROR(Table1[[#This Row],[Spend]]/Table1[[#This Row],[Conversions]],0)</f>
        <v>19.227611940298509</v>
      </c>
      <c r="Q125" s="4">
        <f>IFERROR(Table1[[#This Row],[Revenue]]/Table1[[#This Row],[Conversions]],0)</f>
        <v>216</v>
      </c>
      <c r="R125" s="3">
        <f>IFERROR((Table1[[#This Row],[Revenue]]-Table1[[#This Row],[Spend]])/Table1[[#This Row],[Spend]],0)</f>
        <v>10.233844362507277</v>
      </c>
      <c r="S125" s="6">
        <f>IFERROR(Table1[[#This Row],[Revenue]]/Table1[[#This Row],[Spend]],0)</f>
        <v>11.233844362507277</v>
      </c>
      <c r="T125" s="4">
        <f>Table1[[#This Row],[Revenue]]-Table1[[#This Row],[Spend]]</f>
        <v>52735</v>
      </c>
      <c r="U125" s="4" t="str">
        <f>TEXT(Table1[[#This Row],[Date]],"MMM")</f>
        <v>Jan</v>
      </c>
      <c r="V125" s="4" t="str">
        <f>IF(Table1[[#This Row],[ROI (%)]]&gt;0,"Profitable","Loss-Making")</f>
        <v>Profitable</v>
      </c>
    </row>
    <row r="126" spans="1:22" x14ac:dyDescent="0.35">
      <c r="A126" s="1" t="s">
        <v>24</v>
      </c>
      <c r="B126" t="s">
        <v>11</v>
      </c>
      <c r="C126" t="s">
        <v>321</v>
      </c>
      <c r="D126" s="2">
        <v>5840</v>
      </c>
      <c r="E126">
        <v>55387</v>
      </c>
      <c r="F126">
        <v>3623</v>
      </c>
      <c r="G126">
        <v>718</v>
      </c>
      <c r="H126">
        <v>263</v>
      </c>
      <c r="I126" s="2">
        <v>54967</v>
      </c>
      <c r="J126" t="s">
        <v>322</v>
      </c>
      <c r="K126" s="3">
        <f>IFERROR(Table1[[#This Row],[Clicks]]/Table1[[#This Row],[Impressions]],0)</f>
        <v>6.5412461407911598E-2</v>
      </c>
      <c r="L126" s="3">
        <f>IFERROR(Table1[[#This Row],[Leads]]/Table1[[#This Row],[Clicks]],0)</f>
        <v>0.19817830527187413</v>
      </c>
      <c r="M126" s="3">
        <f>IFERROR(Table1[[#This Row],[Conversions]]/Table1[[#This Row],[Leads]],0)</f>
        <v>0.36629526462395545</v>
      </c>
      <c r="N126" s="3">
        <f>IFERROR(Table1[[#This Row],[Conversions]]/Table1[[#This Row],[Impressions]],0)</f>
        <v>4.7484066658241104E-3</v>
      </c>
      <c r="O126" s="4">
        <f>IFERROR(Table1[[#This Row],[Spend]]/Table1[[#This Row],[Leads]],0)</f>
        <v>8.1337047353760443</v>
      </c>
      <c r="P126" s="4">
        <f>IFERROR(Table1[[#This Row],[Spend]]/Table1[[#This Row],[Conversions]],0)</f>
        <v>22.20532319391635</v>
      </c>
      <c r="Q126" s="4">
        <f>IFERROR(Table1[[#This Row],[Revenue]]/Table1[[#This Row],[Conversions]],0)</f>
        <v>209</v>
      </c>
      <c r="R126" s="3">
        <f>IFERROR((Table1[[#This Row],[Revenue]]-Table1[[#This Row],[Spend]])/Table1[[#This Row],[Spend]],0)</f>
        <v>8.4121575342465746</v>
      </c>
      <c r="S126" s="6">
        <f>IFERROR(Table1[[#This Row],[Revenue]]/Table1[[#This Row],[Spend]],0)</f>
        <v>9.4121575342465746</v>
      </c>
      <c r="T126" s="4">
        <f>Table1[[#This Row],[Revenue]]-Table1[[#This Row],[Spend]]</f>
        <v>49127</v>
      </c>
      <c r="U126" s="4" t="str">
        <f>TEXT(Table1[[#This Row],[Date]],"MMM")</f>
        <v>Jan</v>
      </c>
      <c r="V126" s="4" t="str">
        <f>IF(Table1[[#This Row],[ROI (%)]]&gt;0,"Profitable","Loss-Making")</f>
        <v>Profitable</v>
      </c>
    </row>
    <row r="127" spans="1:22" x14ac:dyDescent="0.35">
      <c r="A127" s="1" t="s">
        <v>27</v>
      </c>
      <c r="B127" t="s">
        <v>28</v>
      </c>
      <c r="C127" t="s">
        <v>323</v>
      </c>
      <c r="D127" s="2">
        <v>7391</v>
      </c>
      <c r="E127">
        <v>90327</v>
      </c>
      <c r="F127">
        <v>4183</v>
      </c>
      <c r="G127">
        <v>1097</v>
      </c>
      <c r="H127">
        <v>96</v>
      </c>
      <c r="I127" s="2">
        <v>12000</v>
      </c>
      <c r="J127" t="s">
        <v>324</v>
      </c>
      <c r="K127" s="3">
        <f>IFERROR(Table1[[#This Row],[Clicks]]/Table1[[#This Row],[Impressions]],0)</f>
        <v>4.6309519855635632E-2</v>
      </c>
      <c r="L127" s="3">
        <f>IFERROR(Table1[[#This Row],[Leads]]/Table1[[#This Row],[Clicks]],0)</f>
        <v>0.26225197226870667</v>
      </c>
      <c r="M127" s="3">
        <f>IFERROR(Table1[[#This Row],[Conversions]]/Table1[[#This Row],[Leads]],0)</f>
        <v>8.7511394712853241E-2</v>
      </c>
      <c r="N127" s="3">
        <f>IFERROR(Table1[[#This Row],[Conversions]]/Table1[[#This Row],[Impressions]],0)</f>
        <v>1.0628051413198712E-3</v>
      </c>
      <c r="O127" s="4">
        <f>IFERROR(Table1[[#This Row],[Spend]]/Table1[[#This Row],[Leads]],0)</f>
        <v>6.73746581586144</v>
      </c>
      <c r="P127" s="4">
        <f>IFERROR(Table1[[#This Row],[Spend]]/Table1[[#This Row],[Conversions]],0)</f>
        <v>76.989583333333329</v>
      </c>
      <c r="Q127" s="4">
        <f>IFERROR(Table1[[#This Row],[Revenue]]/Table1[[#This Row],[Conversions]],0)</f>
        <v>125</v>
      </c>
      <c r="R127" s="3">
        <f>IFERROR((Table1[[#This Row],[Revenue]]-Table1[[#This Row],[Spend]])/Table1[[#This Row],[Spend]],0)</f>
        <v>0.62359626572858884</v>
      </c>
      <c r="S127" s="6">
        <f>IFERROR(Table1[[#This Row],[Revenue]]/Table1[[#This Row],[Spend]],0)</f>
        <v>1.6235962657285887</v>
      </c>
      <c r="T127" s="4">
        <f>Table1[[#This Row],[Revenue]]-Table1[[#This Row],[Spend]]</f>
        <v>4609</v>
      </c>
      <c r="U127" s="4" t="str">
        <f>TEXT(Table1[[#This Row],[Date]],"MMM")</f>
        <v>Jan</v>
      </c>
      <c r="V127" s="4" t="str">
        <f>IF(Table1[[#This Row],[ROI (%)]]&gt;0,"Profitable","Loss-Making")</f>
        <v>Profitable</v>
      </c>
    </row>
    <row r="128" spans="1:22" x14ac:dyDescent="0.35">
      <c r="A128" s="1" t="s">
        <v>31</v>
      </c>
      <c r="B128" t="s">
        <v>15</v>
      </c>
      <c r="C128" t="s">
        <v>325</v>
      </c>
      <c r="D128" s="2">
        <v>13837</v>
      </c>
      <c r="E128">
        <v>36162</v>
      </c>
      <c r="F128">
        <v>1771</v>
      </c>
      <c r="G128">
        <v>407</v>
      </c>
      <c r="H128">
        <v>33</v>
      </c>
      <c r="I128" s="2">
        <v>6600</v>
      </c>
      <c r="J128" t="s">
        <v>326</v>
      </c>
      <c r="K128" s="3">
        <f>IFERROR(Table1[[#This Row],[Clicks]]/Table1[[#This Row],[Impressions]],0)</f>
        <v>4.8974061169183118E-2</v>
      </c>
      <c r="L128" s="3">
        <f>IFERROR(Table1[[#This Row],[Leads]]/Table1[[#This Row],[Clicks]],0)</f>
        <v>0.22981366459627328</v>
      </c>
      <c r="M128" s="3">
        <f>IFERROR(Table1[[#This Row],[Conversions]]/Table1[[#This Row],[Leads]],0)</f>
        <v>8.1081081081081086E-2</v>
      </c>
      <c r="N128" s="3">
        <f>IFERROR(Table1[[#This Row],[Conversions]]/Table1[[#This Row],[Impressions]],0)</f>
        <v>9.1256014600962331E-4</v>
      </c>
      <c r="O128" s="4">
        <f>IFERROR(Table1[[#This Row],[Spend]]/Table1[[#This Row],[Leads]],0)</f>
        <v>33.997542997543</v>
      </c>
      <c r="P128" s="4">
        <f>IFERROR(Table1[[#This Row],[Spend]]/Table1[[#This Row],[Conversions]],0)</f>
        <v>419.30303030303031</v>
      </c>
      <c r="Q128" s="4">
        <f>IFERROR(Table1[[#This Row],[Revenue]]/Table1[[#This Row],[Conversions]],0)</f>
        <v>200</v>
      </c>
      <c r="R128" s="3">
        <f>IFERROR((Table1[[#This Row],[Revenue]]-Table1[[#This Row],[Spend]])/Table1[[#This Row],[Spend]],0)</f>
        <v>-0.52301799523018</v>
      </c>
      <c r="S128" s="6">
        <f>IFERROR(Table1[[#This Row],[Revenue]]/Table1[[#This Row],[Spend]],0)</f>
        <v>0.47698200476982006</v>
      </c>
      <c r="T128" s="4">
        <f>Table1[[#This Row],[Revenue]]-Table1[[#This Row],[Spend]]</f>
        <v>-7237</v>
      </c>
      <c r="U128" s="4" t="str">
        <f>TEXT(Table1[[#This Row],[Date]],"MMM")</f>
        <v>Jan</v>
      </c>
      <c r="V128" s="4" t="str">
        <f>IF(Table1[[#This Row],[ROI (%)]]&gt;0,"Profitable","Loss-Making")</f>
        <v>Loss-Making</v>
      </c>
    </row>
    <row r="129" spans="1:22" x14ac:dyDescent="0.35">
      <c r="A129" s="1" t="s">
        <v>34</v>
      </c>
      <c r="B129" t="s">
        <v>11</v>
      </c>
      <c r="C129" t="s">
        <v>327</v>
      </c>
      <c r="D129" s="2">
        <v>5848</v>
      </c>
      <c r="E129">
        <v>45864</v>
      </c>
      <c r="F129">
        <v>3793</v>
      </c>
      <c r="G129">
        <v>757</v>
      </c>
      <c r="H129">
        <v>222</v>
      </c>
      <c r="I129" s="2">
        <v>54612</v>
      </c>
      <c r="J129" t="s">
        <v>328</v>
      </c>
      <c r="K129" s="3">
        <f>IFERROR(Table1[[#This Row],[Clicks]]/Table1[[#This Row],[Impressions]],0)</f>
        <v>8.2701029129600562E-2</v>
      </c>
      <c r="L129" s="3">
        <f>IFERROR(Table1[[#This Row],[Leads]]/Table1[[#This Row],[Clicks]],0)</f>
        <v>0.19957817031373584</v>
      </c>
      <c r="M129" s="3">
        <f>IFERROR(Table1[[#This Row],[Conversions]]/Table1[[#This Row],[Leads]],0)</f>
        <v>0.29326287978863935</v>
      </c>
      <c r="N129" s="3">
        <f>IFERROR(Table1[[#This Row],[Conversions]]/Table1[[#This Row],[Impressions]],0)</f>
        <v>4.8403976975405546E-3</v>
      </c>
      <c r="O129" s="4">
        <f>IFERROR(Table1[[#This Row],[Spend]]/Table1[[#This Row],[Leads]],0)</f>
        <v>7.7252311756935272</v>
      </c>
      <c r="P129" s="4">
        <f>IFERROR(Table1[[#This Row],[Spend]]/Table1[[#This Row],[Conversions]],0)</f>
        <v>26.342342342342342</v>
      </c>
      <c r="Q129" s="4">
        <f>IFERROR(Table1[[#This Row],[Revenue]]/Table1[[#This Row],[Conversions]],0)</f>
        <v>246</v>
      </c>
      <c r="R129" s="3">
        <f>IFERROR((Table1[[#This Row],[Revenue]]-Table1[[#This Row],[Spend]])/Table1[[#This Row],[Spend]],0)</f>
        <v>8.3385772913816698</v>
      </c>
      <c r="S129" s="6">
        <f>IFERROR(Table1[[#This Row],[Revenue]]/Table1[[#This Row],[Spend]],0)</f>
        <v>9.3385772913816698</v>
      </c>
      <c r="T129" s="4">
        <f>Table1[[#This Row],[Revenue]]-Table1[[#This Row],[Spend]]</f>
        <v>48764</v>
      </c>
      <c r="U129" s="4" t="str">
        <f>TEXT(Table1[[#This Row],[Date]],"MMM")</f>
        <v>Jan</v>
      </c>
      <c r="V129" s="4" t="str">
        <f>IF(Table1[[#This Row],[ROI (%)]]&gt;0,"Profitable","Loss-Making")</f>
        <v>Profitable</v>
      </c>
    </row>
    <row r="130" spans="1:22" x14ac:dyDescent="0.35">
      <c r="A130" s="1" t="s">
        <v>37</v>
      </c>
      <c r="B130" t="s">
        <v>15</v>
      </c>
      <c r="C130" t="s">
        <v>329</v>
      </c>
      <c r="D130" s="2">
        <v>10882</v>
      </c>
      <c r="E130">
        <v>35834</v>
      </c>
      <c r="F130">
        <v>2109</v>
      </c>
      <c r="G130">
        <v>440</v>
      </c>
      <c r="H130">
        <v>41</v>
      </c>
      <c r="I130" s="2">
        <v>6888</v>
      </c>
      <c r="J130" t="s">
        <v>330</v>
      </c>
      <c r="K130" s="3">
        <f>IFERROR(Table1[[#This Row],[Clicks]]/Table1[[#This Row],[Impressions]],0)</f>
        <v>5.8854718981972427E-2</v>
      </c>
      <c r="L130" s="3">
        <f>IFERROR(Table1[[#This Row],[Leads]]/Table1[[#This Row],[Clicks]],0)</f>
        <v>0.20862968231389284</v>
      </c>
      <c r="M130" s="3">
        <f>IFERROR(Table1[[#This Row],[Conversions]]/Table1[[#This Row],[Leads]],0)</f>
        <v>9.3181818181818185E-2</v>
      </c>
      <c r="N130" s="3">
        <f>IFERROR(Table1[[#This Row],[Conversions]]/Table1[[#This Row],[Impressions]],0)</f>
        <v>1.1441647597254005E-3</v>
      </c>
      <c r="O130" s="4">
        <f>IFERROR(Table1[[#This Row],[Spend]]/Table1[[#This Row],[Leads]],0)</f>
        <v>24.731818181818181</v>
      </c>
      <c r="P130" s="4">
        <f>IFERROR(Table1[[#This Row],[Spend]]/Table1[[#This Row],[Conversions]],0)</f>
        <v>265.41463414634148</v>
      </c>
      <c r="Q130" s="4">
        <f>IFERROR(Table1[[#This Row],[Revenue]]/Table1[[#This Row],[Conversions]],0)</f>
        <v>168</v>
      </c>
      <c r="R130" s="3">
        <f>IFERROR((Table1[[#This Row],[Revenue]]-Table1[[#This Row],[Spend]])/Table1[[#This Row],[Spend]],0)</f>
        <v>-0.36702811983091344</v>
      </c>
      <c r="S130" s="6">
        <f>IFERROR(Table1[[#This Row],[Revenue]]/Table1[[#This Row],[Spend]],0)</f>
        <v>0.63297188016908656</v>
      </c>
      <c r="T130" s="4">
        <f>Table1[[#This Row],[Revenue]]-Table1[[#This Row],[Spend]]</f>
        <v>-3994</v>
      </c>
      <c r="U130" s="4" t="str">
        <f>TEXT(Table1[[#This Row],[Date]],"MMM")</f>
        <v>Jan</v>
      </c>
      <c r="V130" s="4" t="str">
        <f>IF(Table1[[#This Row],[ROI (%)]]&gt;0,"Profitable","Loss-Making")</f>
        <v>Loss-Making</v>
      </c>
    </row>
    <row r="131" spans="1:22" x14ac:dyDescent="0.35">
      <c r="A131" s="1" t="s">
        <v>40</v>
      </c>
      <c r="B131" t="s">
        <v>15</v>
      </c>
      <c r="C131" t="s">
        <v>331</v>
      </c>
      <c r="D131" s="2">
        <v>11970</v>
      </c>
      <c r="E131">
        <v>32155</v>
      </c>
      <c r="F131">
        <v>2345</v>
      </c>
      <c r="G131">
        <v>443</v>
      </c>
      <c r="H131">
        <v>44</v>
      </c>
      <c r="I131" s="2">
        <v>8712</v>
      </c>
      <c r="J131" t="s">
        <v>332</v>
      </c>
      <c r="K131" s="3">
        <f>IFERROR(Table1[[#This Row],[Clicks]]/Table1[[#This Row],[Impressions]],0)</f>
        <v>7.2928004975897992E-2</v>
      </c>
      <c r="L131" s="3">
        <f>IFERROR(Table1[[#This Row],[Leads]]/Table1[[#This Row],[Clicks]],0)</f>
        <v>0.18891257995735608</v>
      </c>
      <c r="M131" s="3">
        <f>IFERROR(Table1[[#This Row],[Conversions]]/Table1[[#This Row],[Leads]],0)</f>
        <v>9.9322799097065456E-2</v>
      </c>
      <c r="N131" s="3">
        <f>IFERROR(Table1[[#This Row],[Conversions]]/Table1[[#This Row],[Impressions]],0)</f>
        <v>1.3683719483750583E-3</v>
      </c>
      <c r="O131" s="4">
        <f>IFERROR(Table1[[#This Row],[Spend]]/Table1[[#This Row],[Leads]],0)</f>
        <v>27.020316027088036</v>
      </c>
      <c r="P131" s="4">
        <f>IFERROR(Table1[[#This Row],[Spend]]/Table1[[#This Row],[Conversions]],0)</f>
        <v>272.04545454545456</v>
      </c>
      <c r="Q131" s="4">
        <f>IFERROR(Table1[[#This Row],[Revenue]]/Table1[[#This Row],[Conversions]],0)</f>
        <v>198</v>
      </c>
      <c r="R131" s="3">
        <f>IFERROR((Table1[[#This Row],[Revenue]]-Table1[[#This Row],[Spend]])/Table1[[#This Row],[Spend]],0)</f>
        <v>-0.27218045112781952</v>
      </c>
      <c r="S131" s="6">
        <f>IFERROR(Table1[[#This Row],[Revenue]]/Table1[[#This Row],[Spend]],0)</f>
        <v>0.72781954887218048</v>
      </c>
      <c r="T131" s="4">
        <f>Table1[[#This Row],[Revenue]]-Table1[[#This Row],[Spend]]</f>
        <v>-3258</v>
      </c>
      <c r="U131" s="4" t="str">
        <f>TEXT(Table1[[#This Row],[Date]],"MMM")</f>
        <v>Jan</v>
      </c>
      <c r="V131" s="4" t="str">
        <f>IF(Table1[[#This Row],[ROI (%)]]&gt;0,"Profitable","Loss-Making")</f>
        <v>Loss-Making</v>
      </c>
    </row>
    <row r="132" spans="1:22" x14ac:dyDescent="0.35">
      <c r="A132" s="1" t="s">
        <v>43</v>
      </c>
      <c r="B132" t="s">
        <v>15</v>
      </c>
      <c r="C132" t="s">
        <v>333</v>
      </c>
      <c r="D132" s="2">
        <v>12315</v>
      </c>
      <c r="E132">
        <v>25863</v>
      </c>
      <c r="F132">
        <v>1980</v>
      </c>
      <c r="G132">
        <v>329</v>
      </c>
      <c r="H132">
        <v>49</v>
      </c>
      <c r="I132" s="2">
        <v>8330</v>
      </c>
      <c r="J132" t="s">
        <v>334</v>
      </c>
      <c r="K132" s="3">
        <f>IFERROR(Table1[[#This Row],[Clicks]]/Table1[[#This Row],[Impressions]],0)</f>
        <v>7.6557243939218186E-2</v>
      </c>
      <c r="L132" s="3">
        <f>IFERROR(Table1[[#This Row],[Leads]]/Table1[[#This Row],[Clicks]],0)</f>
        <v>0.16616161616161615</v>
      </c>
      <c r="M132" s="3">
        <f>IFERROR(Table1[[#This Row],[Conversions]]/Table1[[#This Row],[Leads]],0)</f>
        <v>0.14893617021276595</v>
      </c>
      <c r="N132" s="3">
        <f>IFERROR(Table1[[#This Row],[Conversions]]/Table1[[#This Row],[Impressions]],0)</f>
        <v>1.8945984611220663E-3</v>
      </c>
      <c r="O132" s="4">
        <f>IFERROR(Table1[[#This Row],[Spend]]/Table1[[#This Row],[Leads]],0)</f>
        <v>37.431610942249243</v>
      </c>
      <c r="P132" s="4">
        <f>IFERROR(Table1[[#This Row],[Spend]]/Table1[[#This Row],[Conversions]],0)</f>
        <v>251.32653061224491</v>
      </c>
      <c r="Q132" s="4">
        <f>IFERROR(Table1[[#This Row],[Revenue]]/Table1[[#This Row],[Conversions]],0)</f>
        <v>170</v>
      </c>
      <c r="R132" s="3">
        <f>IFERROR((Table1[[#This Row],[Revenue]]-Table1[[#This Row],[Spend]])/Table1[[#This Row],[Spend]],0)</f>
        <v>-0.32358911896061715</v>
      </c>
      <c r="S132" s="6">
        <f>IFERROR(Table1[[#This Row],[Revenue]]/Table1[[#This Row],[Spend]],0)</f>
        <v>0.67641088103938285</v>
      </c>
      <c r="T132" s="4">
        <f>Table1[[#This Row],[Revenue]]-Table1[[#This Row],[Spend]]</f>
        <v>-3985</v>
      </c>
      <c r="U132" s="4" t="str">
        <f>TEXT(Table1[[#This Row],[Date]],"MMM")</f>
        <v>Jan</v>
      </c>
      <c r="V132" s="4" t="str">
        <f>IF(Table1[[#This Row],[ROI (%)]]&gt;0,"Profitable","Loss-Making")</f>
        <v>Loss-Making</v>
      </c>
    </row>
    <row r="133" spans="1:22" x14ac:dyDescent="0.35">
      <c r="A133" s="1" t="s">
        <v>46</v>
      </c>
      <c r="B133" t="s">
        <v>15</v>
      </c>
      <c r="C133" t="s">
        <v>335</v>
      </c>
      <c r="D133" s="2">
        <v>12710</v>
      </c>
      <c r="E133">
        <v>36545</v>
      </c>
      <c r="F133">
        <v>2054</v>
      </c>
      <c r="G133">
        <v>433</v>
      </c>
      <c r="H133">
        <v>40</v>
      </c>
      <c r="I133" s="2">
        <v>8600</v>
      </c>
      <c r="J133" t="s">
        <v>336</v>
      </c>
      <c r="K133" s="3">
        <f>IFERROR(Table1[[#This Row],[Clicks]]/Table1[[#This Row],[Impressions]],0)</f>
        <v>5.6204679162676151E-2</v>
      </c>
      <c r="L133" s="3">
        <f>IFERROR(Table1[[#This Row],[Leads]]/Table1[[#This Row],[Clicks]],0)</f>
        <v>0.21080817916260955</v>
      </c>
      <c r="M133" s="3">
        <f>IFERROR(Table1[[#This Row],[Conversions]]/Table1[[#This Row],[Leads]],0)</f>
        <v>9.237875288683603E-2</v>
      </c>
      <c r="N133" s="3">
        <f>IFERROR(Table1[[#This Row],[Conversions]]/Table1[[#This Row],[Impressions]],0)</f>
        <v>1.0945409768778219E-3</v>
      </c>
      <c r="O133" s="4">
        <f>IFERROR(Table1[[#This Row],[Spend]]/Table1[[#This Row],[Leads]],0)</f>
        <v>29.353348729792149</v>
      </c>
      <c r="P133" s="4">
        <f>IFERROR(Table1[[#This Row],[Spend]]/Table1[[#This Row],[Conversions]],0)</f>
        <v>317.75</v>
      </c>
      <c r="Q133" s="4">
        <f>IFERROR(Table1[[#This Row],[Revenue]]/Table1[[#This Row],[Conversions]],0)</f>
        <v>215</v>
      </c>
      <c r="R133" s="3">
        <f>IFERROR((Table1[[#This Row],[Revenue]]-Table1[[#This Row],[Spend]])/Table1[[#This Row],[Spend]],0)</f>
        <v>-0.32336742722265932</v>
      </c>
      <c r="S133" s="6">
        <f>IFERROR(Table1[[#This Row],[Revenue]]/Table1[[#This Row],[Spend]],0)</f>
        <v>0.67663257277734068</v>
      </c>
      <c r="T133" s="4">
        <f>Table1[[#This Row],[Revenue]]-Table1[[#This Row],[Spend]]</f>
        <v>-4110</v>
      </c>
      <c r="U133" s="4" t="str">
        <f>TEXT(Table1[[#This Row],[Date]],"MMM")</f>
        <v>Jan</v>
      </c>
      <c r="V133" s="4" t="str">
        <f>IF(Table1[[#This Row],[ROI (%)]]&gt;0,"Profitable","Loss-Making")</f>
        <v>Loss-Making</v>
      </c>
    </row>
    <row r="134" spans="1:22" x14ac:dyDescent="0.35">
      <c r="A134" s="1" t="s">
        <v>49</v>
      </c>
      <c r="B134" t="s">
        <v>11</v>
      </c>
      <c r="C134" t="s">
        <v>337</v>
      </c>
      <c r="D134" s="2">
        <v>6941</v>
      </c>
      <c r="E134">
        <v>47525</v>
      </c>
      <c r="F134">
        <v>4854</v>
      </c>
      <c r="G134">
        <v>907</v>
      </c>
      <c r="H134">
        <v>250</v>
      </c>
      <c r="I134" s="2">
        <v>51500</v>
      </c>
      <c r="J134" t="s">
        <v>338</v>
      </c>
      <c r="K134" s="3">
        <f>IFERROR(Table1[[#This Row],[Clicks]]/Table1[[#This Row],[Impressions]],0)</f>
        <v>0.10213571804313519</v>
      </c>
      <c r="L134" s="3">
        <f>IFERROR(Table1[[#This Row],[Leads]]/Table1[[#This Row],[Clicks]],0)</f>
        <v>0.18685620107128142</v>
      </c>
      <c r="M134" s="3">
        <f>IFERROR(Table1[[#This Row],[Conversions]]/Table1[[#This Row],[Leads]],0)</f>
        <v>0.27563395810363839</v>
      </c>
      <c r="N134" s="3">
        <f>IFERROR(Table1[[#This Row],[Conversions]]/Table1[[#This Row],[Impressions]],0)</f>
        <v>5.2603892688058915E-3</v>
      </c>
      <c r="O134" s="4">
        <f>IFERROR(Table1[[#This Row],[Spend]]/Table1[[#This Row],[Leads]],0)</f>
        <v>7.6527012127894158</v>
      </c>
      <c r="P134" s="4">
        <f>IFERROR(Table1[[#This Row],[Spend]]/Table1[[#This Row],[Conversions]],0)</f>
        <v>27.763999999999999</v>
      </c>
      <c r="Q134" s="4">
        <f>IFERROR(Table1[[#This Row],[Revenue]]/Table1[[#This Row],[Conversions]],0)</f>
        <v>206</v>
      </c>
      <c r="R134" s="3">
        <f>IFERROR((Table1[[#This Row],[Revenue]]-Table1[[#This Row],[Spend]])/Table1[[#This Row],[Spend]],0)</f>
        <v>6.4196801613600343</v>
      </c>
      <c r="S134" s="6">
        <f>IFERROR(Table1[[#This Row],[Revenue]]/Table1[[#This Row],[Spend]],0)</f>
        <v>7.4196801613600343</v>
      </c>
      <c r="T134" s="4">
        <f>Table1[[#This Row],[Revenue]]-Table1[[#This Row],[Spend]]</f>
        <v>44559</v>
      </c>
      <c r="U134" s="4" t="str">
        <f>TEXT(Table1[[#This Row],[Date]],"MMM")</f>
        <v>Jan</v>
      </c>
      <c r="V134" s="4" t="str">
        <f>IF(Table1[[#This Row],[ROI (%)]]&gt;0,"Profitable","Loss-Making")</f>
        <v>Profitable</v>
      </c>
    </row>
    <row r="135" spans="1:22" x14ac:dyDescent="0.35">
      <c r="A135" s="1" t="s">
        <v>52</v>
      </c>
      <c r="B135" t="s">
        <v>28</v>
      </c>
      <c r="C135" t="s">
        <v>339</v>
      </c>
      <c r="D135" s="2">
        <v>8153</v>
      </c>
      <c r="E135">
        <v>99694</v>
      </c>
      <c r="F135">
        <v>5334</v>
      </c>
      <c r="G135">
        <v>1009</v>
      </c>
      <c r="H135">
        <v>56</v>
      </c>
      <c r="I135" s="2">
        <v>9128</v>
      </c>
      <c r="J135" t="s">
        <v>340</v>
      </c>
      <c r="K135" s="3">
        <f>IFERROR(Table1[[#This Row],[Clicks]]/Table1[[#This Row],[Impressions]],0)</f>
        <v>5.3503721387445587E-2</v>
      </c>
      <c r="L135" s="3">
        <f>IFERROR(Table1[[#This Row],[Leads]]/Table1[[#This Row],[Clicks]],0)</f>
        <v>0.18916385451818524</v>
      </c>
      <c r="M135" s="3">
        <f>IFERROR(Table1[[#This Row],[Conversions]]/Table1[[#This Row],[Leads]],0)</f>
        <v>5.550049554013875E-2</v>
      </c>
      <c r="N135" s="3">
        <f>IFERROR(Table1[[#This Row],[Conversions]]/Table1[[#This Row],[Impressions]],0)</f>
        <v>5.6171885971071484E-4</v>
      </c>
      <c r="O135" s="4">
        <f>IFERROR(Table1[[#This Row],[Spend]]/Table1[[#This Row],[Leads]],0)</f>
        <v>8.0802775024777009</v>
      </c>
      <c r="P135" s="4">
        <f>IFERROR(Table1[[#This Row],[Spend]]/Table1[[#This Row],[Conversions]],0)</f>
        <v>145.58928571428572</v>
      </c>
      <c r="Q135" s="4">
        <f>IFERROR(Table1[[#This Row],[Revenue]]/Table1[[#This Row],[Conversions]],0)</f>
        <v>163</v>
      </c>
      <c r="R135" s="3">
        <f>IFERROR((Table1[[#This Row],[Revenue]]-Table1[[#This Row],[Spend]])/Table1[[#This Row],[Spend]],0)</f>
        <v>0.11958788176131485</v>
      </c>
      <c r="S135" s="6">
        <f>IFERROR(Table1[[#This Row],[Revenue]]/Table1[[#This Row],[Spend]],0)</f>
        <v>1.119587881761315</v>
      </c>
      <c r="T135" s="4">
        <f>Table1[[#This Row],[Revenue]]-Table1[[#This Row],[Spend]]</f>
        <v>975</v>
      </c>
      <c r="U135" s="4" t="str">
        <f>TEXT(Table1[[#This Row],[Date]],"MMM")</f>
        <v>Jan</v>
      </c>
      <c r="V135" s="4" t="str">
        <f>IF(Table1[[#This Row],[ROI (%)]]&gt;0,"Profitable","Loss-Making")</f>
        <v>Profitable</v>
      </c>
    </row>
    <row r="136" spans="1:22" x14ac:dyDescent="0.35">
      <c r="A136" s="1" t="s">
        <v>55</v>
      </c>
      <c r="B136" t="s">
        <v>15</v>
      </c>
      <c r="C136" t="s">
        <v>341</v>
      </c>
      <c r="D136" s="2">
        <v>12210</v>
      </c>
      <c r="E136">
        <v>28936</v>
      </c>
      <c r="F136">
        <v>2081</v>
      </c>
      <c r="G136">
        <v>379</v>
      </c>
      <c r="H136">
        <v>31</v>
      </c>
      <c r="I136" s="2">
        <v>5797</v>
      </c>
      <c r="J136" t="s">
        <v>342</v>
      </c>
      <c r="K136" s="3">
        <f>IFERROR(Table1[[#This Row],[Clicks]]/Table1[[#This Row],[Impressions]],0)</f>
        <v>7.1917334807851813E-2</v>
      </c>
      <c r="L136" s="3">
        <f>IFERROR(Table1[[#This Row],[Leads]]/Table1[[#This Row],[Clicks]],0)</f>
        <v>0.18212397885631909</v>
      </c>
      <c r="M136" s="3">
        <f>IFERROR(Table1[[#This Row],[Conversions]]/Table1[[#This Row],[Leads]],0)</f>
        <v>8.1794195250659632E-2</v>
      </c>
      <c r="N136" s="3">
        <f>IFERROR(Table1[[#This Row],[Conversions]]/Table1[[#This Row],[Impressions]],0)</f>
        <v>1.0713298313519491E-3</v>
      </c>
      <c r="O136" s="4">
        <f>IFERROR(Table1[[#This Row],[Spend]]/Table1[[#This Row],[Leads]],0)</f>
        <v>32.21635883905013</v>
      </c>
      <c r="P136" s="4">
        <f>IFERROR(Table1[[#This Row],[Spend]]/Table1[[#This Row],[Conversions]],0)</f>
        <v>393.87096774193549</v>
      </c>
      <c r="Q136" s="4">
        <f>IFERROR(Table1[[#This Row],[Revenue]]/Table1[[#This Row],[Conversions]],0)</f>
        <v>187</v>
      </c>
      <c r="R136" s="3">
        <f>IFERROR((Table1[[#This Row],[Revenue]]-Table1[[#This Row],[Spend]])/Table1[[#This Row],[Spend]],0)</f>
        <v>-0.52522522522522519</v>
      </c>
      <c r="S136" s="6">
        <f>IFERROR(Table1[[#This Row],[Revenue]]/Table1[[#This Row],[Spend]],0)</f>
        <v>0.47477477477477475</v>
      </c>
      <c r="T136" s="4">
        <f>Table1[[#This Row],[Revenue]]-Table1[[#This Row],[Spend]]</f>
        <v>-6413</v>
      </c>
      <c r="U136" s="4" t="str">
        <f>TEXT(Table1[[#This Row],[Date]],"MMM")</f>
        <v>Jan</v>
      </c>
      <c r="V136" s="4" t="str">
        <f>IF(Table1[[#This Row],[ROI (%)]]&gt;0,"Profitable","Loss-Making")</f>
        <v>Loss-Making</v>
      </c>
    </row>
    <row r="137" spans="1:22" x14ac:dyDescent="0.35">
      <c r="A137" s="1" t="s">
        <v>58</v>
      </c>
      <c r="B137" t="s">
        <v>28</v>
      </c>
      <c r="C137" t="s">
        <v>343</v>
      </c>
      <c r="D137" s="2">
        <v>6445</v>
      </c>
      <c r="E137">
        <v>79080</v>
      </c>
      <c r="F137">
        <v>4159</v>
      </c>
      <c r="G137">
        <v>1373</v>
      </c>
      <c r="H137">
        <v>84</v>
      </c>
      <c r="I137" s="2">
        <v>11004</v>
      </c>
      <c r="J137" t="s">
        <v>344</v>
      </c>
      <c r="K137" s="3">
        <f>IFERROR(Table1[[#This Row],[Clicks]]/Table1[[#This Row],[Impressions]],0)</f>
        <v>5.2592311583206881E-2</v>
      </c>
      <c r="L137" s="3">
        <f>IFERROR(Table1[[#This Row],[Leads]]/Table1[[#This Row],[Clicks]],0)</f>
        <v>0.33012743447944215</v>
      </c>
      <c r="M137" s="3">
        <f>IFERROR(Table1[[#This Row],[Conversions]]/Table1[[#This Row],[Leads]],0)</f>
        <v>6.117989803350328E-2</v>
      </c>
      <c r="N137" s="3">
        <f>IFERROR(Table1[[#This Row],[Conversions]]/Table1[[#This Row],[Impressions]],0)</f>
        <v>1.0622154779969652E-3</v>
      </c>
      <c r="O137" s="4">
        <f>IFERROR(Table1[[#This Row],[Spend]]/Table1[[#This Row],[Leads]],0)</f>
        <v>4.6941005098324835</v>
      </c>
      <c r="P137" s="4">
        <f>IFERROR(Table1[[#This Row],[Spend]]/Table1[[#This Row],[Conversions]],0)</f>
        <v>76.726190476190482</v>
      </c>
      <c r="Q137" s="4">
        <f>IFERROR(Table1[[#This Row],[Revenue]]/Table1[[#This Row],[Conversions]],0)</f>
        <v>131</v>
      </c>
      <c r="R137" s="3">
        <f>IFERROR((Table1[[#This Row],[Revenue]]-Table1[[#This Row],[Spend]])/Table1[[#This Row],[Spend]],0)</f>
        <v>0.70737005430566335</v>
      </c>
      <c r="S137" s="6">
        <f>IFERROR(Table1[[#This Row],[Revenue]]/Table1[[#This Row],[Spend]],0)</f>
        <v>1.7073700543056634</v>
      </c>
      <c r="T137" s="4">
        <f>Table1[[#This Row],[Revenue]]-Table1[[#This Row],[Spend]]</f>
        <v>4559</v>
      </c>
      <c r="U137" s="4" t="str">
        <f>TEXT(Table1[[#This Row],[Date]],"MMM")</f>
        <v>Jan</v>
      </c>
      <c r="V137" s="4" t="str">
        <f>IF(Table1[[#This Row],[ROI (%)]]&gt;0,"Profitable","Loss-Making")</f>
        <v>Profitable</v>
      </c>
    </row>
    <row r="138" spans="1:22" x14ac:dyDescent="0.35">
      <c r="A138" s="1" t="s">
        <v>61</v>
      </c>
      <c r="B138" t="s">
        <v>15</v>
      </c>
      <c r="C138" t="s">
        <v>345</v>
      </c>
      <c r="D138" s="2">
        <v>9263</v>
      </c>
      <c r="E138">
        <v>39289</v>
      </c>
      <c r="F138">
        <v>1909</v>
      </c>
      <c r="G138">
        <v>478</v>
      </c>
      <c r="H138">
        <v>31</v>
      </c>
      <c r="I138" s="2">
        <v>5766</v>
      </c>
      <c r="J138" t="s">
        <v>346</v>
      </c>
      <c r="K138" s="3">
        <f>IFERROR(Table1[[#This Row],[Clicks]]/Table1[[#This Row],[Impressions]],0)</f>
        <v>4.8588663493598715E-2</v>
      </c>
      <c r="L138" s="3">
        <f>IFERROR(Table1[[#This Row],[Leads]]/Table1[[#This Row],[Clicks]],0)</f>
        <v>0.25039287585123099</v>
      </c>
      <c r="M138" s="3">
        <f>IFERROR(Table1[[#This Row],[Conversions]]/Table1[[#This Row],[Leads]],0)</f>
        <v>6.4853556485355651E-2</v>
      </c>
      <c r="N138" s="3">
        <f>IFERROR(Table1[[#This Row],[Conversions]]/Table1[[#This Row],[Impressions]],0)</f>
        <v>7.8902491791595607E-4</v>
      </c>
      <c r="O138" s="4">
        <f>IFERROR(Table1[[#This Row],[Spend]]/Table1[[#This Row],[Leads]],0)</f>
        <v>19.37866108786611</v>
      </c>
      <c r="P138" s="4">
        <f>IFERROR(Table1[[#This Row],[Spend]]/Table1[[#This Row],[Conversions]],0)</f>
        <v>298.80645161290323</v>
      </c>
      <c r="Q138" s="4">
        <f>IFERROR(Table1[[#This Row],[Revenue]]/Table1[[#This Row],[Conversions]],0)</f>
        <v>186</v>
      </c>
      <c r="R138" s="3">
        <f>IFERROR((Table1[[#This Row],[Revenue]]-Table1[[#This Row],[Spend]])/Table1[[#This Row],[Spend]],0)</f>
        <v>-0.37752348051387241</v>
      </c>
      <c r="S138" s="6">
        <f>IFERROR(Table1[[#This Row],[Revenue]]/Table1[[#This Row],[Spend]],0)</f>
        <v>0.62247651948612759</v>
      </c>
      <c r="T138" s="4">
        <f>Table1[[#This Row],[Revenue]]-Table1[[#This Row],[Spend]]</f>
        <v>-3497</v>
      </c>
      <c r="U138" s="4" t="str">
        <f>TEXT(Table1[[#This Row],[Date]],"MMM")</f>
        <v>Jan</v>
      </c>
      <c r="V138" s="4" t="str">
        <f>IF(Table1[[#This Row],[ROI (%)]]&gt;0,"Profitable","Loss-Making")</f>
        <v>Loss-Making</v>
      </c>
    </row>
    <row r="139" spans="1:22" x14ac:dyDescent="0.35">
      <c r="A139" s="1" t="s">
        <v>64</v>
      </c>
      <c r="B139" t="s">
        <v>28</v>
      </c>
      <c r="C139" t="s">
        <v>347</v>
      </c>
      <c r="D139" s="2">
        <v>8936</v>
      </c>
      <c r="E139">
        <v>73524</v>
      </c>
      <c r="F139">
        <v>4593</v>
      </c>
      <c r="G139">
        <v>1391</v>
      </c>
      <c r="H139">
        <v>48</v>
      </c>
      <c r="I139" s="2">
        <v>7200</v>
      </c>
      <c r="J139" t="s">
        <v>348</v>
      </c>
      <c r="K139" s="3">
        <f>IFERROR(Table1[[#This Row],[Clicks]]/Table1[[#This Row],[Impressions]],0)</f>
        <v>6.2469397747674231E-2</v>
      </c>
      <c r="L139" s="3">
        <f>IFERROR(Table1[[#This Row],[Leads]]/Table1[[#This Row],[Clicks]],0)</f>
        <v>0.30285216634008272</v>
      </c>
      <c r="M139" s="3">
        <f>IFERROR(Table1[[#This Row],[Conversions]]/Table1[[#This Row],[Leads]],0)</f>
        <v>3.4507548526240113E-2</v>
      </c>
      <c r="N139" s="3">
        <f>IFERROR(Table1[[#This Row],[Conversions]]/Table1[[#This Row],[Impressions]],0)</f>
        <v>6.5284804961645182E-4</v>
      </c>
      <c r="O139" s="4">
        <f>IFERROR(Table1[[#This Row],[Spend]]/Table1[[#This Row],[Leads]],0)</f>
        <v>6.4241552839683678</v>
      </c>
      <c r="P139" s="4">
        <f>IFERROR(Table1[[#This Row],[Spend]]/Table1[[#This Row],[Conversions]],0)</f>
        <v>186.16666666666666</v>
      </c>
      <c r="Q139" s="4">
        <f>IFERROR(Table1[[#This Row],[Revenue]]/Table1[[#This Row],[Conversions]],0)</f>
        <v>150</v>
      </c>
      <c r="R139" s="3">
        <f>IFERROR((Table1[[#This Row],[Revenue]]-Table1[[#This Row],[Spend]])/Table1[[#This Row],[Spend]],0)</f>
        <v>-0.19427036705461057</v>
      </c>
      <c r="S139" s="6">
        <f>IFERROR(Table1[[#This Row],[Revenue]]/Table1[[#This Row],[Spend]],0)</f>
        <v>0.80572963294538946</v>
      </c>
      <c r="T139" s="4">
        <f>Table1[[#This Row],[Revenue]]-Table1[[#This Row],[Spend]]</f>
        <v>-1736</v>
      </c>
      <c r="U139" s="4" t="str">
        <f>TEXT(Table1[[#This Row],[Date]],"MMM")</f>
        <v>Jan</v>
      </c>
      <c r="V139" s="4" t="str">
        <f>IF(Table1[[#This Row],[ROI (%)]]&gt;0,"Profitable","Loss-Making")</f>
        <v>Loss-Making</v>
      </c>
    </row>
    <row r="140" spans="1:22" x14ac:dyDescent="0.35">
      <c r="A140" s="1" t="s">
        <v>67</v>
      </c>
      <c r="B140" t="s">
        <v>11</v>
      </c>
      <c r="C140" t="s">
        <v>349</v>
      </c>
      <c r="D140" s="2">
        <v>4328</v>
      </c>
      <c r="E140">
        <v>65283</v>
      </c>
      <c r="F140">
        <v>3752</v>
      </c>
      <c r="G140">
        <v>706</v>
      </c>
      <c r="H140">
        <v>288</v>
      </c>
      <c r="I140" s="2">
        <v>63936</v>
      </c>
      <c r="J140" t="s">
        <v>350</v>
      </c>
      <c r="K140" s="3">
        <f>IFERROR(Table1[[#This Row],[Clicks]]/Table1[[#This Row],[Impressions]],0)</f>
        <v>5.7472848980592191E-2</v>
      </c>
      <c r="L140" s="3">
        <f>IFERROR(Table1[[#This Row],[Leads]]/Table1[[#This Row],[Clicks]],0)</f>
        <v>0.18816631130063965</v>
      </c>
      <c r="M140" s="3">
        <f>IFERROR(Table1[[#This Row],[Conversions]]/Table1[[#This Row],[Leads]],0)</f>
        <v>0.40793201133144474</v>
      </c>
      <c r="N140" s="3">
        <f>IFERROR(Table1[[#This Row],[Conversions]]/Table1[[#This Row],[Impressions]],0)</f>
        <v>4.4115619686595289E-3</v>
      </c>
      <c r="O140" s="4">
        <f>IFERROR(Table1[[#This Row],[Spend]]/Table1[[#This Row],[Leads]],0)</f>
        <v>6.1303116147308785</v>
      </c>
      <c r="P140" s="4">
        <f>IFERROR(Table1[[#This Row],[Spend]]/Table1[[#This Row],[Conversions]],0)</f>
        <v>15.027777777777779</v>
      </c>
      <c r="Q140" s="4">
        <f>IFERROR(Table1[[#This Row],[Revenue]]/Table1[[#This Row],[Conversions]],0)</f>
        <v>222</v>
      </c>
      <c r="R140" s="3">
        <f>IFERROR((Table1[[#This Row],[Revenue]]-Table1[[#This Row],[Spend]])/Table1[[#This Row],[Spend]],0)</f>
        <v>13.772643253234751</v>
      </c>
      <c r="S140" s="6">
        <f>IFERROR(Table1[[#This Row],[Revenue]]/Table1[[#This Row],[Spend]],0)</f>
        <v>14.772643253234751</v>
      </c>
      <c r="T140" s="4">
        <f>Table1[[#This Row],[Revenue]]-Table1[[#This Row],[Spend]]</f>
        <v>59608</v>
      </c>
      <c r="U140" s="4" t="str">
        <f>TEXT(Table1[[#This Row],[Date]],"MMM")</f>
        <v>Jan</v>
      </c>
      <c r="V140" s="4" t="str">
        <f>IF(Table1[[#This Row],[ROI (%)]]&gt;0,"Profitable","Loss-Making")</f>
        <v>Profitable</v>
      </c>
    </row>
    <row r="141" spans="1:22" x14ac:dyDescent="0.35">
      <c r="A141" s="1" t="s">
        <v>70</v>
      </c>
      <c r="B141" t="s">
        <v>11</v>
      </c>
      <c r="C141" t="s">
        <v>351</v>
      </c>
      <c r="D141" s="2">
        <v>5587</v>
      </c>
      <c r="E141">
        <v>50669</v>
      </c>
      <c r="F141">
        <v>4908</v>
      </c>
      <c r="G141">
        <v>790</v>
      </c>
      <c r="H141">
        <v>217</v>
      </c>
      <c r="I141" s="2">
        <v>48608</v>
      </c>
      <c r="J141" t="s">
        <v>352</v>
      </c>
      <c r="K141" s="3">
        <f>IFERROR(Table1[[#This Row],[Clicks]]/Table1[[#This Row],[Impressions]],0)</f>
        <v>9.6863960212358644E-2</v>
      </c>
      <c r="L141" s="3">
        <f>IFERROR(Table1[[#This Row],[Leads]]/Table1[[#This Row],[Clicks]],0)</f>
        <v>0.16096169519152403</v>
      </c>
      <c r="M141" s="3">
        <f>IFERROR(Table1[[#This Row],[Conversions]]/Table1[[#This Row],[Leads]],0)</f>
        <v>0.27468354430379749</v>
      </c>
      <c r="N141" s="3">
        <f>IFERROR(Table1[[#This Row],[Conversions]]/Table1[[#This Row],[Impressions]],0)</f>
        <v>4.2826975073516349E-3</v>
      </c>
      <c r="O141" s="4">
        <f>IFERROR(Table1[[#This Row],[Spend]]/Table1[[#This Row],[Leads]],0)</f>
        <v>7.0721518987341776</v>
      </c>
      <c r="P141" s="4">
        <f>IFERROR(Table1[[#This Row],[Spend]]/Table1[[#This Row],[Conversions]],0)</f>
        <v>25.746543778801843</v>
      </c>
      <c r="Q141" s="4">
        <f>IFERROR(Table1[[#This Row],[Revenue]]/Table1[[#This Row],[Conversions]],0)</f>
        <v>224</v>
      </c>
      <c r="R141" s="3">
        <f>IFERROR((Table1[[#This Row],[Revenue]]-Table1[[#This Row],[Spend]])/Table1[[#This Row],[Spend]],0)</f>
        <v>7.7001968856273493</v>
      </c>
      <c r="S141" s="6">
        <f>IFERROR(Table1[[#This Row],[Revenue]]/Table1[[#This Row],[Spend]],0)</f>
        <v>8.7001968856273493</v>
      </c>
      <c r="T141" s="4">
        <f>Table1[[#This Row],[Revenue]]-Table1[[#This Row],[Spend]]</f>
        <v>43021</v>
      </c>
      <c r="U141" s="4" t="str">
        <f>TEXT(Table1[[#This Row],[Date]],"MMM")</f>
        <v>Jan</v>
      </c>
      <c r="V141" s="4" t="str">
        <f>IF(Table1[[#This Row],[ROI (%)]]&gt;0,"Profitable","Loss-Making")</f>
        <v>Profitable</v>
      </c>
    </row>
    <row r="142" spans="1:22" x14ac:dyDescent="0.35">
      <c r="A142" s="1" t="s">
        <v>73</v>
      </c>
      <c r="B142" t="s">
        <v>15</v>
      </c>
      <c r="C142" t="s">
        <v>353</v>
      </c>
      <c r="D142" s="2">
        <v>12784</v>
      </c>
      <c r="E142">
        <v>38030</v>
      </c>
      <c r="F142">
        <v>1873</v>
      </c>
      <c r="G142">
        <v>332</v>
      </c>
      <c r="H142">
        <v>42</v>
      </c>
      <c r="I142" s="2">
        <v>6594</v>
      </c>
      <c r="J142" t="s">
        <v>354</v>
      </c>
      <c r="K142" s="3">
        <f>IFERROR(Table1[[#This Row],[Clicks]]/Table1[[#This Row],[Impressions]],0)</f>
        <v>4.9250591638180387E-2</v>
      </c>
      <c r="L142" s="3">
        <f>IFERROR(Table1[[#This Row],[Leads]]/Table1[[#This Row],[Clicks]],0)</f>
        <v>0.17725573945541911</v>
      </c>
      <c r="M142" s="3">
        <f>IFERROR(Table1[[#This Row],[Conversions]]/Table1[[#This Row],[Leads]],0)</f>
        <v>0.12650602409638553</v>
      </c>
      <c r="N142" s="3">
        <f>IFERROR(Table1[[#This Row],[Conversions]]/Table1[[#This Row],[Impressions]],0)</f>
        <v>1.1043912700499606E-3</v>
      </c>
      <c r="O142" s="4">
        <f>IFERROR(Table1[[#This Row],[Spend]]/Table1[[#This Row],[Leads]],0)</f>
        <v>38.506024096385545</v>
      </c>
      <c r="P142" s="4">
        <f>IFERROR(Table1[[#This Row],[Spend]]/Table1[[#This Row],[Conversions]],0)</f>
        <v>304.38095238095241</v>
      </c>
      <c r="Q142" s="4">
        <f>IFERROR(Table1[[#This Row],[Revenue]]/Table1[[#This Row],[Conversions]],0)</f>
        <v>157</v>
      </c>
      <c r="R142" s="3">
        <f>IFERROR((Table1[[#This Row],[Revenue]]-Table1[[#This Row],[Spend]])/Table1[[#This Row],[Spend]],0)</f>
        <v>-0.48419899874843553</v>
      </c>
      <c r="S142" s="6">
        <f>IFERROR(Table1[[#This Row],[Revenue]]/Table1[[#This Row],[Spend]],0)</f>
        <v>0.51580100125156447</v>
      </c>
      <c r="T142" s="4">
        <f>Table1[[#This Row],[Revenue]]-Table1[[#This Row],[Spend]]</f>
        <v>-6190</v>
      </c>
      <c r="U142" s="4" t="str">
        <f>TEXT(Table1[[#This Row],[Date]],"MMM")</f>
        <v>Jan</v>
      </c>
      <c r="V142" s="4" t="str">
        <f>IF(Table1[[#This Row],[ROI (%)]]&gt;0,"Profitable","Loss-Making")</f>
        <v>Loss-Making</v>
      </c>
    </row>
    <row r="143" spans="1:22" x14ac:dyDescent="0.35">
      <c r="A143" s="1" t="s">
        <v>76</v>
      </c>
      <c r="B143" t="s">
        <v>15</v>
      </c>
      <c r="C143" t="s">
        <v>355</v>
      </c>
      <c r="D143" s="2">
        <v>10983</v>
      </c>
      <c r="E143">
        <v>26675</v>
      </c>
      <c r="F143">
        <v>2972</v>
      </c>
      <c r="G143">
        <v>447</v>
      </c>
      <c r="H143">
        <v>35</v>
      </c>
      <c r="I143" s="2">
        <v>5320</v>
      </c>
      <c r="J143" t="s">
        <v>356</v>
      </c>
      <c r="K143" s="3">
        <f>IFERROR(Table1[[#This Row],[Clicks]]/Table1[[#This Row],[Impressions]],0)</f>
        <v>0.11141518275538895</v>
      </c>
      <c r="L143" s="3">
        <f>IFERROR(Table1[[#This Row],[Leads]]/Table1[[#This Row],[Clicks]],0)</f>
        <v>0.15040376850605652</v>
      </c>
      <c r="M143" s="3">
        <f>IFERROR(Table1[[#This Row],[Conversions]]/Table1[[#This Row],[Leads]],0)</f>
        <v>7.829977628635347E-2</v>
      </c>
      <c r="N143" s="3">
        <f>IFERROR(Table1[[#This Row],[Conversions]]/Table1[[#This Row],[Impressions]],0)</f>
        <v>1.3120899718837863E-3</v>
      </c>
      <c r="O143" s="4">
        <f>IFERROR(Table1[[#This Row],[Spend]]/Table1[[#This Row],[Leads]],0)</f>
        <v>24.570469798657719</v>
      </c>
      <c r="P143" s="4">
        <f>IFERROR(Table1[[#This Row],[Spend]]/Table1[[#This Row],[Conversions]],0)</f>
        <v>313.8</v>
      </c>
      <c r="Q143" s="4">
        <f>IFERROR(Table1[[#This Row],[Revenue]]/Table1[[#This Row],[Conversions]],0)</f>
        <v>152</v>
      </c>
      <c r="R143" s="3">
        <f>IFERROR((Table1[[#This Row],[Revenue]]-Table1[[#This Row],[Spend]])/Table1[[#This Row],[Spend]],0)</f>
        <v>-0.5156150414276609</v>
      </c>
      <c r="S143" s="6">
        <f>IFERROR(Table1[[#This Row],[Revenue]]/Table1[[#This Row],[Spend]],0)</f>
        <v>0.4843849585723391</v>
      </c>
      <c r="T143" s="4">
        <f>Table1[[#This Row],[Revenue]]-Table1[[#This Row],[Spend]]</f>
        <v>-5663</v>
      </c>
      <c r="U143" s="4" t="str">
        <f>TEXT(Table1[[#This Row],[Date]],"MMM")</f>
        <v>Jan</v>
      </c>
      <c r="V143" s="4" t="str">
        <f>IF(Table1[[#This Row],[ROI (%)]]&gt;0,"Profitable","Loss-Making")</f>
        <v>Loss-Making</v>
      </c>
    </row>
    <row r="144" spans="1:22" x14ac:dyDescent="0.35">
      <c r="A144" s="1" t="s">
        <v>79</v>
      </c>
      <c r="B144" t="s">
        <v>11</v>
      </c>
      <c r="C144" t="s">
        <v>357</v>
      </c>
      <c r="D144" s="2">
        <v>6323</v>
      </c>
      <c r="E144">
        <v>63473</v>
      </c>
      <c r="F144">
        <v>4295</v>
      </c>
      <c r="G144">
        <v>764</v>
      </c>
      <c r="H144">
        <v>242</v>
      </c>
      <c r="I144" s="2">
        <v>50820</v>
      </c>
      <c r="J144" t="s">
        <v>358</v>
      </c>
      <c r="K144" s="3">
        <f>IFERROR(Table1[[#This Row],[Clicks]]/Table1[[#This Row],[Impressions]],0)</f>
        <v>6.7666566886707732E-2</v>
      </c>
      <c r="L144" s="3">
        <f>IFERROR(Table1[[#This Row],[Leads]]/Table1[[#This Row],[Clicks]],0)</f>
        <v>0.1778812572759022</v>
      </c>
      <c r="M144" s="3">
        <f>IFERROR(Table1[[#This Row],[Conversions]]/Table1[[#This Row],[Leads]],0)</f>
        <v>0.31675392670157065</v>
      </c>
      <c r="N144" s="3">
        <f>IFERROR(Table1[[#This Row],[Conversions]]/Table1[[#This Row],[Impressions]],0)</f>
        <v>3.8126447465851622E-3</v>
      </c>
      <c r="O144" s="4">
        <f>IFERROR(Table1[[#This Row],[Spend]]/Table1[[#This Row],[Leads]],0)</f>
        <v>8.2761780104712042</v>
      </c>
      <c r="P144" s="4">
        <f>IFERROR(Table1[[#This Row],[Spend]]/Table1[[#This Row],[Conversions]],0)</f>
        <v>26.128099173553718</v>
      </c>
      <c r="Q144" s="4">
        <f>IFERROR(Table1[[#This Row],[Revenue]]/Table1[[#This Row],[Conversions]],0)</f>
        <v>210</v>
      </c>
      <c r="R144" s="3">
        <f>IFERROR((Table1[[#This Row],[Revenue]]-Table1[[#This Row],[Spend]])/Table1[[#This Row],[Spend]],0)</f>
        <v>7.0373240550371658</v>
      </c>
      <c r="S144" s="6">
        <f>IFERROR(Table1[[#This Row],[Revenue]]/Table1[[#This Row],[Spend]],0)</f>
        <v>8.0373240550371658</v>
      </c>
      <c r="T144" s="4">
        <f>Table1[[#This Row],[Revenue]]-Table1[[#This Row],[Spend]]</f>
        <v>44497</v>
      </c>
      <c r="U144" s="4" t="str">
        <f>TEXT(Table1[[#This Row],[Date]],"MMM")</f>
        <v>Jan</v>
      </c>
      <c r="V144" s="4" t="str">
        <f>IF(Table1[[#This Row],[ROI (%)]]&gt;0,"Profitable","Loss-Making")</f>
        <v>Profitable</v>
      </c>
    </row>
    <row r="145" spans="1:22" x14ac:dyDescent="0.35">
      <c r="A145" s="1" t="s">
        <v>82</v>
      </c>
      <c r="B145" t="s">
        <v>15</v>
      </c>
      <c r="C145" t="s">
        <v>359</v>
      </c>
      <c r="D145" s="2">
        <v>9659</v>
      </c>
      <c r="E145">
        <v>34129</v>
      </c>
      <c r="F145">
        <v>2242</v>
      </c>
      <c r="G145">
        <v>318</v>
      </c>
      <c r="H145">
        <v>25</v>
      </c>
      <c r="I145" s="2">
        <v>3850</v>
      </c>
      <c r="J145" t="s">
        <v>360</v>
      </c>
      <c r="K145" s="3">
        <f>IFERROR(Table1[[#This Row],[Clicks]]/Table1[[#This Row],[Impressions]],0)</f>
        <v>6.5691933546250983E-2</v>
      </c>
      <c r="L145" s="3">
        <f>IFERROR(Table1[[#This Row],[Leads]]/Table1[[#This Row],[Clicks]],0)</f>
        <v>0.14183764495985726</v>
      </c>
      <c r="M145" s="3">
        <f>IFERROR(Table1[[#This Row],[Conversions]]/Table1[[#This Row],[Leads]],0)</f>
        <v>7.8616352201257858E-2</v>
      </c>
      <c r="N145" s="3">
        <f>IFERROR(Table1[[#This Row],[Conversions]]/Table1[[#This Row],[Impressions]],0)</f>
        <v>7.3251487005186202E-4</v>
      </c>
      <c r="O145" s="4">
        <f>IFERROR(Table1[[#This Row],[Spend]]/Table1[[#This Row],[Leads]],0)</f>
        <v>30.374213836477988</v>
      </c>
      <c r="P145" s="4">
        <f>IFERROR(Table1[[#This Row],[Spend]]/Table1[[#This Row],[Conversions]],0)</f>
        <v>386.36</v>
      </c>
      <c r="Q145" s="4">
        <f>IFERROR(Table1[[#This Row],[Revenue]]/Table1[[#This Row],[Conversions]],0)</f>
        <v>154</v>
      </c>
      <c r="R145" s="3">
        <f>IFERROR((Table1[[#This Row],[Revenue]]-Table1[[#This Row],[Spend]])/Table1[[#This Row],[Spend]],0)</f>
        <v>-0.60140801325188942</v>
      </c>
      <c r="S145" s="6">
        <f>IFERROR(Table1[[#This Row],[Revenue]]/Table1[[#This Row],[Spend]],0)</f>
        <v>0.39859198674811058</v>
      </c>
      <c r="T145" s="4">
        <f>Table1[[#This Row],[Revenue]]-Table1[[#This Row],[Spend]]</f>
        <v>-5809</v>
      </c>
      <c r="U145" s="4" t="str">
        <f>TEXT(Table1[[#This Row],[Date]],"MMM")</f>
        <v>Jan</v>
      </c>
      <c r="V145" s="4" t="str">
        <f>IF(Table1[[#This Row],[ROI (%)]]&gt;0,"Profitable","Loss-Making")</f>
        <v>Loss-Making</v>
      </c>
    </row>
    <row r="146" spans="1:22" x14ac:dyDescent="0.35">
      <c r="A146" s="1" t="s">
        <v>85</v>
      </c>
      <c r="B146" t="s">
        <v>11</v>
      </c>
      <c r="C146" t="s">
        <v>361</v>
      </c>
      <c r="D146" s="2">
        <v>6144</v>
      </c>
      <c r="E146">
        <v>66260</v>
      </c>
      <c r="F146">
        <v>3492</v>
      </c>
      <c r="G146">
        <v>793</v>
      </c>
      <c r="H146">
        <v>203</v>
      </c>
      <c r="I146" s="2">
        <v>46487</v>
      </c>
      <c r="J146" t="s">
        <v>362</v>
      </c>
      <c r="K146" s="3">
        <f>IFERROR(Table1[[#This Row],[Clicks]]/Table1[[#This Row],[Impressions]],0)</f>
        <v>5.2701479022034411E-2</v>
      </c>
      <c r="L146" s="3">
        <f>IFERROR(Table1[[#This Row],[Leads]]/Table1[[#This Row],[Clicks]],0)</f>
        <v>0.22709049255441008</v>
      </c>
      <c r="M146" s="3">
        <f>IFERROR(Table1[[#This Row],[Conversions]]/Table1[[#This Row],[Leads]],0)</f>
        <v>0.25598991172761665</v>
      </c>
      <c r="N146" s="3">
        <f>IFERROR(Table1[[#This Row],[Conversions]]/Table1[[#This Row],[Impressions]],0)</f>
        <v>3.0636884998490794E-3</v>
      </c>
      <c r="O146" s="4">
        <f>IFERROR(Table1[[#This Row],[Spend]]/Table1[[#This Row],[Leads]],0)</f>
        <v>7.7477931904161412</v>
      </c>
      <c r="P146" s="4">
        <f>IFERROR(Table1[[#This Row],[Spend]]/Table1[[#This Row],[Conversions]],0)</f>
        <v>30.266009852216747</v>
      </c>
      <c r="Q146" s="4">
        <f>IFERROR(Table1[[#This Row],[Revenue]]/Table1[[#This Row],[Conversions]],0)</f>
        <v>229</v>
      </c>
      <c r="R146" s="3">
        <f>IFERROR((Table1[[#This Row],[Revenue]]-Table1[[#This Row],[Spend]])/Table1[[#This Row],[Spend]],0)</f>
        <v>6.566243489583333</v>
      </c>
      <c r="S146" s="6">
        <f>IFERROR(Table1[[#This Row],[Revenue]]/Table1[[#This Row],[Spend]],0)</f>
        <v>7.566243489583333</v>
      </c>
      <c r="T146" s="4">
        <f>Table1[[#This Row],[Revenue]]-Table1[[#This Row],[Spend]]</f>
        <v>40343</v>
      </c>
      <c r="U146" s="4" t="str">
        <f>TEXT(Table1[[#This Row],[Date]],"MMM")</f>
        <v>Jan</v>
      </c>
      <c r="V146" s="4" t="str">
        <f>IF(Table1[[#This Row],[ROI (%)]]&gt;0,"Profitable","Loss-Making")</f>
        <v>Profitable</v>
      </c>
    </row>
    <row r="147" spans="1:22" x14ac:dyDescent="0.35">
      <c r="A147" s="1" t="s">
        <v>88</v>
      </c>
      <c r="B147" t="s">
        <v>15</v>
      </c>
      <c r="C147" t="s">
        <v>363</v>
      </c>
      <c r="D147" s="2">
        <v>12848</v>
      </c>
      <c r="E147">
        <v>31038</v>
      </c>
      <c r="F147">
        <v>1762</v>
      </c>
      <c r="G147">
        <v>327</v>
      </c>
      <c r="H147">
        <v>36</v>
      </c>
      <c r="I147" s="2">
        <v>5724</v>
      </c>
      <c r="J147" t="s">
        <v>364</v>
      </c>
      <c r="K147" s="3">
        <f>IFERROR(Table1[[#This Row],[Clicks]]/Table1[[#This Row],[Impressions]],0)</f>
        <v>5.6769121721760421E-2</v>
      </c>
      <c r="L147" s="3">
        <f>IFERROR(Table1[[#This Row],[Leads]]/Table1[[#This Row],[Clicks]],0)</f>
        <v>0.18558456299659479</v>
      </c>
      <c r="M147" s="3">
        <f>IFERROR(Table1[[#This Row],[Conversions]]/Table1[[#This Row],[Leads]],0)</f>
        <v>0.11009174311926606</v>
      </c>
      <c r="N147" s="3">
        <f>IFERROR(Table1[[#This Row],[Conversions]]/Table1[[#This Row],[Impressions]],0)</f>
        <v>1.1598685482312006E-3</v>
      </c>
      <c r="O147" s="4">
        <f>IFERROR(Table1[[#This Row],[Spend]]/Table1[[#This Row],[Leads]],0)</f>
        <v>39.290519877675841</v>
      </c>
      <c r="P147" s="4">
        <f>IFERROR(Table1[[#This Row],[Spend]]/Table1[[#This Row],[Conversions]],0)</f>
        <v>356.88888888888891</v>
      </c>
      <c r="Q147" s="4">
        <f>IFERROR(Table1[[#This Row],[Revenue]]/Table1[[#This Row],[Conversions]],0)</f>
        <v>159</v>
      </c>
      <c r="R147" s="3">
        <f>IFERROR((Table1[[#This Row],[Revenue]]-Table1[[#This Row],[Spend]])/Table1[[#This Row],[Spend]],0)</f>
        <v>-0.55448318804483188</v>
      </c>
      <c r="S147" s="6">
        <f>IFERROR(Table1[[#This Row],[Revenue]]/Table1[[#This Row],[Spend]],0)</f>
        <v>0.44551681195516812</v>
      </c>
      <c r="T147" s="4">
        <f>Table1[[#This Row],[Revenue]]-Table1[[#This Row],[Spend]]</f>
        <v>-7124</v>
      </c>
      <c r="U147" s="4" t="str">
        <f>TEXT(Table1[[#This Row],[Date]],"MMM")</f>
        <v>Jan</v>
      </c>
      <c r="V147" s="4" t="str">
        <f>IF(Table1[[#This Row],[ROI (%)]]&gt;0,"Profitable","Loss-Making")</f>
        <v>Loss-Making</v>
      </c>
    </row>
    <row r="148" spans="1:22" x14ac:dyDescent="0.35">
      <c r="A148" s="1" t="s">
        <v>91</v>
      </c>
      <c r="B148" t="s">
        <v>15</v>
      </c>
      <c r="C148" t="s">
        <v>365</v>
      </c>
      <c r="D148" s="2">
        <v>10514</v>
      </c>
      <c r="E148">
        <v>38322</v>
      </c>
      <c r="F148">
        <v>2320</v>
      </c>
      <c r="G148">
        <v>231</v>
      </c>
      <c r="H148">
        <v>28</v>
      </c>
      <c r="I148" s="2">
        <v>5712</v>
      </c>
      <c r="J148" t="s">
        <v>366</v>
      </c>
      <c r="K148" s="3">
        <f>IFERROR(Table1[[#This Row],[Clicks]]/Table1[[#This Row],[Impressions]],0)</f>
        <v>6.0539637805960021E-2</v>
      </c>
      <c r="L148" s="3">
        <f>IFERROR(Table1[[#This Row],[Leads]]/Table1[[#This Row],[Clicks]],0)</f>
        <v>9.9568965517241384E-2</v>
      </c>
      <c r="M148" s="3">
        <f>IFERROR(Table1[[#This Row],[Conversions]]/Table1[[#This Row],[Leads]],0)</f>
        <v>0.12121212121212122</v>
      </c>
      <c r="N148" s="3">
        <f>IFERROR(Table1[[#This Row],[Conversions]]/Table1[[#This Row],[Impressions]],0)</f>
        <v>7.3065080110641407E-4</v>
      </c>
      <c r="O148" s="4">
        <f>IFERROR(Table1[[#This Row],[Spend]]/Table1[[#This Row],[Leads]],0)</f>
        <v>45.515151515151516</v>
      </c>
      <c r="P148" s="4">
        <f>IFERROR(Table1[[#This Row],[Spend]]/Table1[[#This Row],[Conversions]],0)</f>
        <v>375.5</v>
      </c>
      <c r="Q148" s="4">
        <f>IFERROR(Table1[[#This Row],[Revenue]]/Table1[[#This Row],[Conversions]],0)</f>
        <v>204</v>
      </c>
      <c r="R148" s="3">
        <f>IFERROR((Table1[[#This Row],[Revenue]]-Table1[[#This Row],[Spend]])/Table1[[#This Row],[Spend]],0)</f>
        <v>-0.45672436750998668</v>
      </c>
      <c r="S148" s="6">
        <f>IFERROR(Table1[[#This Row],[Revenue]]/Table1[[#This Row],[Spend]],0)</f>
        <v>0.54327563249001332</v>
      </c>
      <c r="T148" s="4">
        <f>Table1[[#This Row],[Revenue]]-Table1[[#This Row],[Spend]]</f>
        <v>-4802</v>
      </c>
      <c r="U148" s="4" t="str">
        <f>TEXT(Table1[[#This Row],[Date]],"MMM")</f>
        <v>Jan</v>
      </c>
      <c r="V148" s="4" t="str">
        <f>IF(Table1[[#This Row],[ROI (%)]]&gt;0,"Profitable","Loss-Making")</f>
        <v>Loss-Making</v>
      </c>
    </row>
    <row r="149" spans="1:22" x14ac:dyDescent="0.35">
      <c r="A149" s="1" t="s">
        <v>94</v>
      </c>
      <c r="B149" t="s">
        <v>11</v>
      </c>
      <c r="C149" t="s">
        <v>367</v>
      </c>
      <c r="D149" s="2">
        <v>6365</v>
      </c>
      <c r="E149">
        <v>44640</v>
      </c>
      <c r="F149">
        <v>4957</v>
      </c>
      <c r="G149">
        <v>848</v>
      </c>
      <c r="H149">
        <v>265</v>
      </c>
      <c r="I149" s="2">
        <v>57770</v>
      </c>
      <c r="J149" t="s">
        <v>368</v>
      </c>
      <c r="K149" s="3">
        <f>IFERROR(Table1[[#This Row],[Clicks]]/Table1[[#This Row],[Impressions]],0)</f>
        <v>0.11104390681003584</v>
      </c>
      <c r="L149" s="3">
        <f>IFERROR(Table1[[#This Row],[Leads]]/Table1[[#This Row],[Clicks]],0)</f>
        <v>0.17107121242687109</v>
      </c>
      <c r="M149" s="3">
        <f>IFERROR(Table1[[#This Row],[Conversions]]/Table1[[#This Row],[Leads]],0)</f>
        <v>0.3125</v>
      </c>
      <c r="N149" s="3">
        <f>IFERROR(Table1[[#This Row],[Conversions]]/Table1[[#This Row],[Impressions]],0)</f>
        <v>5.9363799283154118E-3</v>
      </c>
      <c r="O149" s="4">
        <f>IFERROR(Table1[[#This Row],[Spend]]/Table1[[#This Row],[Leads]],0)</f>
        <v>7.5058962264150946</v>
      </c>
      <c r="P149" s="4">
        <f>IFERROR(Table1[[#This Row],[Spend]]/Table1[[#This Row],[Conversions]],0)</f>
        <v>24.018867924528301</v>
      </c>
      <c r="Q149" s="4">
        <f>IFERROR(Table1[[#This Row],[Revenue]]/Table1[[#This Row],[Conversions]],0)</f>
        <v>218</v>
      </c>
      <c r="R149" s="3">
        <f>IFERROR((Table1[[#This Row],[Revenue]]-Table1[[#This Row],[Spend]])/Table1[[#This Row],[Spend]],0)</f>
        <v>8.0761979575805185</v>
      </c>
      <c r="S149" s="6">
        <f>IFERROR(Table1[[#This Row],[Revenue]]/Table1[[#This Row],[Spend]],0)</f>
        <v>9.0761979575805185</v>
      </c>
      <c r="T149" s="4">
        <f>Table1[[#This Row],[Revenue]]-Table1[[#This Row],[Spend]]</f>
        <v>51405</v>
      </c>
      <c r="U149" s="4" t="str">
        <f>TEXT(Table1[[#This Row],[Date]],"MMM")</f>
        <v>Jan</v>
      </c>
      <c r="V149" s="4" t="str">
        <f>IF(Table1[[#This Row],[ROI (%)]]&gt;0,"Profitable","Loss-Making")</f>
        <v>Profitable</v>
      </c>
    </row>
    <row r="150" spans="1:22" x14ac:dyDescent="0.35">
      <c r="A150" s="1" t="s">
        <v>97</v>
      </c>
      <c r="B150" t="s">
        <v>28</v>
      </c>
      <c r="C150" t="s">
        <v>369</v>
      </c>
      <c r="D150" s="2">
        <v>8137</v>
      </c>
      <c r="E150">
        <v>87192</v>
      </c>
      <c r="F150">
        <v>4415</v>
      </c>
      <c r="G150">
        <v>1440</v>
      </c>
      <c r="H150">
        <v>42</v>
      </c>
      <c r="I150" s="2">
        <v>5460</v>
      </c>
      <c r="J150" t="s">
        <v>370</v>
      </c>
      <c r="K150" s="3">
        <f>IFERROR(Table1[[#This Row],[Clicks]]/Table1[[#This Row],[Impressions]],0)</f>
        <v>5.0635379392604825E-2</v>
      </c>
      <c r="L150" s="3">
        <f>IFERROR(Table1[[#This Row],[Leads]]/Table1[[#This Row],[Clicks]],0)</f>
        <v>0.32616081540203851</v>
      </c>
      <c r="M150" s="3">
        <f>IFERROR(Table1[[#This Row],[Conversions]]/Table1[[#This Row],[Leads]],0)</f>
        <v>2.9166666666666667E-2</v>
      </c>
      <c r="N150" s="3">
        <f>IFERROR(Table1[[#This Row],[Conversions]]/Table1[[#This Row],[Impressions]],0)</f>
        <v>4.8169556840077071E-4</v>
      </c>
      <c r="O150" s="4">
        <f>IFERROR(Table1[[#This Row],[Spend]]/Table1[[#This Row],[Leads]],0)</f>
        <v>5.6506944444444445</v>
      </c>
      <c r="P150" s="4">
        <f>IFERROR(Table1[[#This Row],[Spend]]/Table1[[#This Row],[Conversions]],0)</f>
        <v>193.73809523809524</v>
      </c>
      <c r="Q150" s="4">
        <f>IFERROR(Table1[[#This Row],[Revenue]]/Table1[[#This Row],[Conversions]],0)</f>
        <v>130</v>
      </c>
      <c r="R150" s="3">
        <f>IFERROR((Table1[[#This Row],[Revenue]]-Table1[[#This Row],[Spend]])/Table1[[#This Row],[Spend]],0)</f>
        <v>-0.32899102863463192</v>
      </c>
      <c r="S150" s="6">
        <f>IFERROR(Table1[[#This Row],[Revenue]]/Table1[[#This Row],[Spend]],0)</f>
        <v>0.67100897136536808</v>
      </c>
      <c r="T150" s="4">
        <f>Table1[[#This Row],[Revenue]]-Table1[[#This Row],[Spend]]</f>
        <v>-2677</v>
      </c>
      <c r="U150" s="4" t="str">
        <f>TEXT(Table1[[#This Row],[Date]],"MMM")</f>
        <v>Jan</v>
      </c>
      <c r="V150" s="4" t="str">
        <f>IF(Table1[[#This Row],[ROI (%)]]&gt;0,"Profitable","Loss-Making")</f>
        <v>Loss-Making</v>
      </c>
    </row>
    <row r="151" spans="1:22" x14ac:dyDescent="0.35">
      <c r="A151" s="1" t="s">
        <v>100</v>
      </c>
      <c r="B151" t="s">
        <v>28</v>
      </c>
      <c r="C151" t="s">
        <v>371</v>
      </c>
      <c r="D151" s="2">
        <v>7869</v>
      </c>
      <c r="E151">
        <v>96725</v>
      </c>
      <c r="F151">
        <v>4493</v>
      </c>
      <c r="G151">
        <v>1367</v>
      </c>
      <c r="H151">
        <v>92</v>
      </c>
      <c r="I151" s="2">
        <v>12236</v>
      </c>
      <c r="J151" t="s">
        <v>372</v>
      </c>
      <c r="K151" s="3">
        <f>IFERROR(Table1[[#This Row],[Clicks]]/Table1[[#This Row],[Impressions]],0)</f>
        <v>4.6451279400361853E-2</v>
      </c>
      <c r="L151" s="3">
        <f>IFERROR(Table1[[#This Row],[Leads]]/Table1[[#This Row],[Clicks]],0)</f>
        <v>0.30425105720008905</v>
      </c>
      <c r="M151" s="3">
        <f>IFERROR(Table1[[#This Row],[Conversions]]/Table1[[#This Row],[Leads]],0)</f>
        <v>6.7300658376005851E-2</v>
      </c>
      <c r="N151" s="3">
        <f>IFERROR(Table1[[#This Row],[Conversions]]/Table1[[#This Row],[Impressions]],0)</f>
        <v>9.5115016800206777E-4</v>
      </c>
      <c r="O151" s="4">
        <f>IFERROR(Table1[[#This Row],[Spend]]/Table1[[#This Row],[Leads]],0)</f>
        <v>5.7564008778346745</v>
      </c>
      <c r="P151" s="4">
        <f>IFERROR(Table1[[#This Row],[Spend]]/Table1[[#This Row],[Conversions]],0)</f>
        <v>85.532608695652172</v>
      </c>
      <c r="Q151" s="4">
        <f>IFERROR(Table1[[#This Row],[Revenue]]/Table1[[#This Row],[Conversions]],0)</f>
        <v>133</v>
      </c>
      <c r="R151" s="3">
        <f>IFERROR((Table1[[#This Row],[Revenue]]-Table1[[#This Row],[Spend]])/Table1[[#This Row],[Spend]],0)</f>
        <v>0.55496251111958317</v>
      </c>
      <c r="S151" s="6">
        <f>IFERROR(Table1[[#This Row],[Revenue]]/Table1[[#This Row],[Spend]],0)</f>
        <v>1.5549625111195833</v>
      </c>
      <c r="T151" s="4">
        <f>Table1[[#This Row],[Revenue]]-Table1[[#This Row],[Spend]]</f>
        <v>4367</v>
      </c>
      <c r="U151" s="4" t="str">
        <f>TEXT(Table1[[#This Row],[Date]],"MMM")</f>
        <v>Jan</v>
      </c>
      <c r="V151" s="4" t="str">
        <f>IF(Table1[[#This Row],[ROI (%)]]&gt;0,"Profitable","Loss-Making")</f>
        <v>Profitable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sairam</cp:lastModifiedBy>
  <dcterms:created xsi:type="dcterms:W3CDTF">2026-04-12T19:12:28Z</dcterms:created>
  <dcterms:modified xsi:type="dcterms:W3CDTF">2026-04-12T20:26:51Z</dcterms:modified>
</cp:coreProperties>
</file>